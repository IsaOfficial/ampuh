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 activeTab="1"/>
  </bookViews>
  <sheets>
    <sheet name="jam tgs guru-FIX Jan 26" sheetId="62" r:id="rId1"/>
    <sheet name="Jadwal FIX Jan '26" sheetId="63" r:id="rId2"/>
    <sheet name="PSL" sheetId="64" r:id="rId3"/>
    <sheet name="Olimpiade" sheetId="65" r:id="rId4"/>
  </sheets>
  <definedNames>
    <definedName name="_xlnm.Print_Area" localSheetId="1">'Jadwal FIX Jan ''26'!$A$1:$AK$80</definedName>
    <definedName name="_xlnm.Print_Titles" localSheetId="1">'Jadwal FIX Jan ''26'!$1:$8</definedName>
    <definedName name="_xlnm.Print_Titles" localSheetId="0">'jam tgs guru-FIX Jan 26'!$4:$6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5" i="64" l="1"/>
  <c r="N6" i="64"/>
  <c r="N7" i="64"/>
  <c r="N8" i="64"/>
  <c r="N9" i="64"/>
  <c r="N10" i="64"/>
  <c r="N4" i="64"/>
  <c r="AF4" i="63" l="1"/>
  <c r="AG4" i="63" l="1"/>
  <c r="AQ90" i="62" l="1"/>
  <c r="AP90" i="62"/>
  <c r="AM90" i="62"/>
  <c r="AL90" i="62"/>
  <c r="AK90" i="62"/>
  <c r="AJ90" i="62"/>
  <c r="AI90" i="62"/>
  <c r="AH90" i="62"/>
  <c r="AG90" i="62"/>
  <c r="AF90" i="62"/>
  <c r="AE90" i="62"/>
  <c r="AD90" i="62"/>
  <c r="AC90" i="62"/>
  <c r="AA90" i="62"/>
  <c r="Z90" i="62"/>
  <c r="Y90" i="62"/>
  <c r="X90" i="62"/>
  <c r="W90" i="62"/>
  <c r="V90" i="62"/>
  <c r="U90" i="62"/>
  <c r="T90" i="62"/>
  <c r="S90" i="62"/>
  <c r="R90" i="62"/>
  <c r="Q90" i="62"/>
  <c r="O90" i="62"/>
  <c r="N90" i="62"/>
  <c r="M90" i="62"/>
  <c r="L90" i="62"/>
  <c r="K90" i="62"/>
  <c r="J90" i="62"/>
  <c r="I90" i="62"/>
  <c r="H90" i="62"/>
  <c r="G90" i="62"/>
  <c r="F90" i="62"/>
  <c r="E90" i="62"/>
  <c r="AN89" i="62"/>
  <c r="AO89" i="62" s="1"/>
  <c r="AN88" i="62"/>
  <c r="AO88" i="62" s="1"/>
  <c r="AO87" i="62"/>
  <c r="AN87" i="62"/>
  <c r="AN86" i="62"/>
  <c r="AO86" i="62" s="1"/>
  <c r="AR86" i="62" s="1"/>
  <c r="AN85" i="62"/>
  <c r="AO85" i="62" s="1"/>
  <c r="AN84" i="62"/>
  <c r="AO84" i="62" s="1"/>
  <c r="AO83" i="62"/>
  <c r="AN83" i="62"/>
  <c r="AB83" i="62"/>
  <c r="P83" i="62"/>
  <c r="AN82" i="62"/>
  <c r="AO82" i="62" s="1"/>
  <c r="AB82" i="62"/>
  <c r="P82" i="62"/>
  <c r="AN81" i="62"/>
  <c r="AB81" i="62"/>
  <c r="P81" i="62"/>
  <c r="AW80" i="62"/>
  <c r="AN80" i="62"/>
  <c r="AB80" i="62"/>
  <c r="AO80" i="62" s="1"/>
  <c r="AS80" i="62" s="1"/>
  <c r="P80" i="62"/>
  <c r="AN79" i="62"/>
  <c r="AB79" i="62"/>
  <c r="P79" i="62"/>
  <c r="AN78" i="62"/>
  <c r="AB78" i="62"/>
  <c r="P78" i="62"/>
  <c r="AN77" i="62"/>
  <c r="AO77" i="62" s="1"/>
  <c r="AB77" i="62"/>
  <c r="P77" i="62"/>
  <c r="AN76" i="62"/>
  <c r="AB76" i="62"/>
  <c r="P76" i="62"/>
  <c r="AN75" i="62"/>
  <c r="AB75" i="62"/>
  <c r="P75" i="62"/>
  <c r="AN74" i="62"/>
  <c r="AO74" i="62" s="1"/>
  <c r="AB74" i="62"/>
  <c r="P74" i="62"/>
  <c r="AN73" i="62"/>
  <c r="AB73" i="62"/>
  <c r="P73" i="62"/>
  <c r="AN72" i="62"/>
  <c r="AB72" i="62"/>
  <c r="P72" i="62"/>
  <c r="AN71" i="62"/>
  <c r="AB71" i="62"/>
  <c r="P71" i="62"/>
  <c r="AN70" i="62"/>
  <c r="AO70" i="62" s="1"/>
  <c r="AB70" i="62"/>
  <c r="P70" i="62"/>
  <c r="AN69" i="62"/>
  <c r="AB69" i="62"/>
  <c r="P69" i="62"/>
  <c r="AN68" i="62"/>
  <c r="AB68" i="62"/>
  <c r="P68" i="62"/>
  <c r="AN67" i="62"/>
  <c r="AB67" i="62"/>
  <c r="P67" i="62"/>
  <c r="AN66" i="62"/>
  <c r="AB66" i="62"/>
  <c r="P66" i="62"/>
  <c r="AN65" i="62"/>
  <c r="AB65" i="62"/>
  <c r="P65" i="62"/>
  <c r="AN64" i="62"/>
  <c r="AB64" i="62"/>
  <c r="AO64" i="62" s="1"/>
  <c r="AS64" i="62" s="1"/>
  <c r="P64" i="62"/>
  <c r="AN63" i="62"/>
  <c r="AB63" i="62"/>
  <c r="P63" i="62"/>
  <c r="AN62" i="62"/>
  <c r="AO62" i="62" s="1"/>
  <c r="AB62" i="62"/>
  <c r="P62" i="62"/>
  <c r="AN61" i="62"/>
  <c r="AB61" i="62"/>
  <c r="P61" i="62"/>
  <c r="AN60" i="62"/>
  <c r="AB60" i="62"/>
  <c r="P60" i="62"/>
  <c r="AN59" i="62"/>
  <c r="AB59" i="62"/>
  <c r="P59" i="62"/>
  <c r="AN58" i="62"/>
  <c r="AO58" i="62" s="1"/>
  <c r="AB58" i="62"/>
  <c r="P58" i="62"/>
  <c r="AN57" i="62"/>
  <c r="AB57" i="62"/>
  <c r="P57" i="62"/>
  <c r="AN56" i="62"/>
  <c r="AB56" i="62"/>
  <c r="P56" i="62"/>
  <c r="AN55" i="62"/>
  <c r="AO55" i="62" s="1"/>
  <c r="AR55" i="62" s="1"/>
  <c r="AB55" i="62"/>
  <c r="P55" i="62"/>
  <c r="AN54" i="62"/>
  <c r="AO54" i="62" s="1"/>
  <c r="AB54" i="62"/>
  <c r="P54" i="62"/>
  <c r="AN53" i="62"/>
  <c r="AB53" i="62"/>
  <c r="P53" i="62"/>
  <c r="AN52" i="62"/>
  <c r="AB52" i="62"/>
  <c r="P52" i="62"/>
  <c r="AN51" i="62"/>
  <c r="AB51" i="62"/>
  <c r="P51" i="62"/>
  <c r="AO50" i="62"/>
  <c r="AN50" i="62"/>
  <c r="AB50" i="62"/>
  <c r="P50" i="62"/>
  <c r="AN49" i="62"/>
  <c r="AB49" i="62"/>
  <c r="P49" i="62"/>
  <c r="AN48" i="62"/>
  <c r="AB48" i="62"/>
  <c r="P48" i="62"/>
  <c r="AN47" i="62"/>
  <c r="AB47" i="62"/>
  <c r="P47" i="62"/>
  <c r="AN46" i="62"/>
  <c r="AB46" i="62"/>
  <c r="P46" i="62"/>
  <c r="AN45" i="62"/>
  <c r="AB45" i="62"/>
  <c r="P45" i="62"/>
  <c r="AN44" i="62"/>
  <c r="AB44" i="62"/>
  <c r="P44" i="62"/>
  <c r="AN43" i="62"/>
  <c r="AO43" i="62" s="1"/>
  <c r="AR43" i="62" s="1"/>
  <c r="AB43" i="62"/>
  <c r="P43" i="62"/>
  <c r="AN42" i="62"/>
  <c r="AB42" i="62"/>
  <c r="AO42" i="62" s="1"/>
  <c r="P42" i="62"/>
  <c r="AN41" i="62"/>
  <c r="AB41" i="62"/>
  <c r="P41" i="62"/>
  <c r="AN40" i="62"/>
  <c r="AB40" i="62"/>
  <c r="P40" i="62"/>
  <c r="AN39" i="62"/>
  <c r="AB39" i="62"/>
  <c r="P39" i="62"/>
  <c r="AN38" i="62"/>
  <c r="AO38" i="62" s="1"/>
  <c r="AS38" i="62" s="1"/>
  <c r="AB38" i="62"/>
  <c r="P38" i="62"/>
  <c r="AN37" i="62"/>
  <c r="AB37" i="62"/>
  <c r="P37" i="62"/>
  <c r="AN36" i="62"/>
  <c r="AB36" i="62"/>
  <c r="P36" i="62"/>
  <c r="AN35" i="62"/>
  <c r="AB35" i="62"/>
  <c r="P35" i="62"/>
  <c r="AO34" i="62"/>
  <c r="AS34" i="62" s="1"/>
  <c r="AN34" i="62"/>
  <c r="AB34" i="62"/>
  <c r="P34" i="62"/>
  <c r="AN33" i="62"/>
  <c r="AB33" i="62"/>
  <c r="P33" i="62"/>
  <c r="AN32" i="62"/>
  <c r="AB32" i="62"/>
  <c r="P32" i="62"/>
  <c r="AN31" i="62"/>
  <c r="AB31" i="62"/>
  <c r="P31" i="62"/>
  <c r="AN30" i="62"/>
  <c r="AB30" i="62"/>
  <c r="P30" i="62"/>
  <c r="AN29" i="62"/>
  <c r="AB29" i="62"/>
  <c r="P29" i="62"/>
  <c r="AN28" i="62"/>
  <c r="AB28" i="62"/>
  <c r="P28" i="62"/>
  <c r="AN27" i="62"/>
  <c r="AB27" i="62"/>
  <c r="P27" i="62"/>
  <c r="AN26" i="62"/>
  <c r="AO26" i="62" s="1"/>
  <c r="AS26" i="62" s="1"/>
  <c r="AB26" i="62"/>
  <c r="P26" i="62"/>
  <c r="AN25" i="62"/>
  <c r="AB25" i="62"/>
  <c r="P25" i="62"/>
  <c r="AN24" i="62"/>
  <c r="AB24" i="62"/>
  <c r="P24" i="62"/>
  <c r="AN23" i="62"/>
  <c r="AB23" i="62"/>
  <c r="P23" i="62"/>
  <c r="AN22" i="62"/>
  <c r="AO22" i="62" s="1"/>
  <c r="AS22" i="62" s="1"/>
  <c r="AB22" i="62"/>
  <c r="P22" i="62"/>
  <c r="AN21" i="62"/>
  <c r="AB21" i="62"/>
  <c r="P21" i="62"/>
  <c r="AN20" i="62"/>
  <c r="AB20" i="62"/>
  <c r="P20" i="62"/>
  <c r="AN19" i="62"/>
  <c r="AO19" i="62" s="1"/>
  <c r="AS19" i="62" s="1"/>
  <c r="AB19" i="62"/>
  <c r="P19" i="62"/>
  <c r="AO18" i="62"/>
  <c r="AS18" i="62" s="1"/>
  <c r="AN18" i="62"/>
  <c r="AB18" i="62"/>
  <c r="P18" i="62"/>
  <c r="AN17" i="62"/>
  <c r="AO17" i="62" s="1"/>
  <c r="AB17" i="62"/>
  <c r="P17" i="62"/>
  <c r="AN16" i="62"/>
  <c r="AB16" i="62"/>
  <c r="P16" i="62"/>
  <c r="AN15" i="62"/>
  <c r="AB15" i="62"/>
  <c r="P15" i="62"/>
  <c r="AN14" i="62"/>
  <c r="AB14" i="62"/>
  <c r="P14" i="62"/>
  <c r="AN13" i="62"/>
  <c r="AO13" i="62" s="1"/>
  <c r="AB13" i="62"/>
  <c r="P13" i="62"/>
  <c r="AN12" i="62"/>
  <c r="AB12" i="62"/>
  <c r="P12" i="62"/>
  <c r="AN11" i="62"/>
  <c r="AB11" i="62"/>
  <c r="P11" i="62"/>
  <c r="AN10" i="62"/>
  <c r="AB10" i="62"/>
  <c r="P10" i="62"/>
  <c r="AN9" i="62"/>
  <c r="AB9" i="62"/>
  <c r="P9" i="62"/>
  <c r="AN8" i="62"/>
  <c r="AB8" i="62"/>
  <c r="P8" i="62"/>
  <c r="AN7" i="62"/>
  <c r="AB7" i="62"/>
  <c r="P7" i="62"/>
  <c r="AR89" i="62" l="1"/>
  <c r="AS89" i="62"/>
  <c r="AR85" i="62"/>
  <c r="AS85" i="62"/>
  <c r="AO8" i="62"/>
  <c r="AR19" i="62"/>
  <c r="AO40" i="62"/>
  <c r="AS40" i="62" s="1"/>
  <c r="AO46" i="62"/>
  <c r="AO52" i="62"/>
  <c r="AS52" i="62" s="1"/>
  <c r="AO59" i="62"/>
  <c r="AR59" i="62" s="1"/>
  <c r="AO65" i="62"/>
  <c r="AO69" i="62"/>
  <c r="AO9" i="62"/>
  <c r="AO11" i="62"/>
  <c r="AO14" i="62"/>
  <c r="AO15" i="62"/>
  <c r="AT15" i="62" s="1"/>
  <c r="AO24" i="62"/>
  <c r="AO36" i="62"/>
  <c r="AO39" i="62"/>
  <c r="AR39" i="62" s="1"/>
  <c r="AO41" i="62"/>
  <c r="AO57" i="62"/>
  <c r="AO63" i="62"/>
  <c r="AR63" i="62" s="1"/>
  <c r="AO72" i="62"/>
  <c r="AS72" i="62" s="1"/>
  <c r="AO12" i="62"/>
  <c r="AT12" i="62" s="1"/>
  <c r="AO20" i="62"/>
  <c r="AO23" i="62"/>
  <c r="AO44" i="62"/>
  <c r="AS44" i="62" s="1"/>
  <c r="AO45" i="62"/>
  <c r="AO48" i="62"/>
  <c r="AS48" i="62" s="1"/>
  <c r="AO61" i="62"/>
  <c r="AO73" i="62"/>
  <c r="AO81" i="62"/>
  <c r="AS81" i="62" s="1"/>
  <c r="AO78" i="62"/>
  <c r="AO30" i="62"/>
  <c r="AS30" i="62" s="1"/>
  <c r="AO60" i="62"/>
  <c r="AS60" i="62" s="1"/>
  <c r="AT60" i="62" s="1"/>
  <c r="AO32" i="62"/>
  <c r="AR32" i="62" s="1"/>
  <c r="AO35" i="62"/>
  <c r="AO76" i="62"/>
  <c r="AS76" i="62" s="1"/>
  <c r="AO68" i="62"/>
  <c r="AS68" i="62" s="1"/>
  <c r="AO56" i="62"/>
  <c r="AS56" i="62" s="1"/>
  <c r="AO10" i="62"/>
  <c r="AO66" i="62"/>
  <c r="AO67" i="62"/>
  <c r="AR67" i="62" s="1"/>
  <c r="AO31" i="62"/>
  <c r="AO28" i="62"/>
  <c r="AS28" i="62" s="1"/>
  <c r="AT28" i="62" s="1"/>
  <c r="AO27" i="62"/>
  <c r="P90" i="62"/>
  <c r="P91" i="62"/>
  <c r="AO53" i="62"/>
  <c r="AO51" i="62"/>
  <c r="AR51" i="62" s="1"/>
  <c r="AO49" i="62"/>
  <c r="AR49" i="62" s="1"/>
  <c r="AO47" i="62"/>
  <c r="AR47" i="62" s="1"/>
  <c r="AR14" i="62"/>
  <c r="AS14" i="62"/>
  <c r="AT14" i="62" s="1"/>
  <c r="AO16" i="62"/>
  <c r="AR16" i="62" s="1"/>
  <c r="AR36" i="62"/>
  <c r="AS36" i="62"/>
  <c r="AT36" i="62" s="1"/>
  <c r="AS32" i="62"/>
  <c r="AT32" i="62" s="1"/>
  <c r="AR10" i="62"/>
  <c r="AS10" i="62"/>
  <c r="AT10" i="62" s="1"/>
  <c r="AR20" i="62"/>
  <c r="AS20" i="62"/>
  <c r="AT20" i="62" s="1"/>
  <c r="AS11" i="62"/>
  <c r="AT11" i="62" s="1"/>
  <c r="AR11" i="62"/>
  <c r="AS12" i="62"/>
  <c r="AR12" i="62"/>
  <c r="AS8" i="62"/>
  <c r="AR8" i="62"/>
  <c r="AT8" i="62"/>
  <c r="AS15" i="62"/>
  <c r="AR24" i="62"/>
  <c r="AS24" i="62"/>
  <c r="AT24" i="62" s="1"/>
  <c r="AB91" i="62"/>
  <c r="AB90" i="62"/>
  <c r="AS54" i="62"/>
  <c r="AT54" i="62" s="1"/>
  <c r="AR54" i="62"/>
  <c r="AT74" i="62"/>
  <c r="AS74" i="62"/>
  <c r="AR74" i="62"/>
  <c r="AS82" i="62"/>
  <c r="AT82" i="62" s="1"/>
  <c r="AR82" i="62"/>
  <c r="AN90" i="62"/>
  <c r="AN91" i="62" s="1"/>
  <c r="AR9" i="62"/>
  <c r="AR13" i="62"/>
  <c r="AR17" i="62"/>
  <c r="AT19" i="62"/>
  <c r="AO21" i="62"/>
  <c r="AO25" i="62"/>
  <c r="AO29" i="62"/>
  <c r="AO33" i="62"/>
  <c r="AO37" i="62"/>
  <c r="AS83" i="62"/>
  <c r="AT83" i="62" s="1"/>
  <c r="AR83" i="62"/>
  <c r="AS42" i="62"/>
  <c r="AT42" i="62" s="1"/>
  <c r="AR42" i="62"/>
  <c r="AS46" i="62"/>
  <c r="AT46" i="62" s="1"/>
  <c r="AR46" i="62"/>
  <c r="AT50" i="62"/>
  <c r="AS50" i="62"/>
  <c r="AR50" i="62"/>
  <c r="AS62" i="62"/>
  <c r="AT62" i="62" s="1"/>
  <c r="AR62" i="62"/>
  <c r="AS70" i="62"/>
  <c r="AT70" i="62" s="1"/>
  <c r="AR70" i="62"/>
  <c r="AO7" i="62"/>
  <c r="AS9" i="62"/>
  <c r="AT9" i="62" s="1"/>
  <c r="AS13" i="62"/>
  <c r="AT13" i="62" s="1"/>
  <c r="AS17" i="62"/>
  <c r="AT17" i="62" s="1"/>
  <c r="AR40" i="62"/>
  <c r="AT40" i="62"/>
  <c r="AR44" i="62"/>
  <c r="AT44" i="62"/>
  <c r="AR48" i="62"/>
  <c r="AT48" i="62"/>
  <c r="AR52" i="62"/>
  <c r="AT52" i="62"/>
  <c r="AR56" i="62"/>
  <c r="AT56" i="62"/>
  <c r="AR60" i="62"/>
  <c r="AR64" i="62"/>
  <c r="AT64" i="62"/>
  <c r="AR72" i="62"/>
  <c r="AT72" i="62"/>
  <c r="AR76" i="62"/>
  <c r="AT76" i="62"/>
  <c r="AR80" i="62"/>
  <c r="AT80" i="62"/>
  <c r="AS84" i="62"/>
  <c r="AR84" i="62"/>
  <c r="AS87" i="62"/>
  <c r="AT87" i="62" s="1"/>
  <c r="AR87" i="62"/>
  <c r="AS58" i="62"/>
  <c r="AT58" i="62" s="1"/>
  <c r="AR58" i="62"/>
  <c r="AS66" i="62"/>
  <c r="AT66" i="62" s="1"/>
  <c r="AR66" i="62"/>
  <c r="AS78" i="62"/>
  <c r="AT78" i="62" s="1"/>
  <c r="AR78" i="62"/>
  <c r="AT18" i="62"/>
  <c r="AR18" i="62"/>
  <c r="AT22" i="62"/>
  <c r="AR22" i="62"/>
  <c r="AT26" i="62"/>
  <c r="AR26" i="62"/>
  <c r="AT30" i="62"/>
  <c r="AR30" i="62"/>
  <c r="AT34" i="62"/>
  <c r="AR34" i="62"/>
  <c r="AT38" i="62"/>
  <c r="AR38" i="62"/>
  <c r="AS39" i="62"/>
  <c r="AT39" i="62" s="1"/>
  <c r="AS41" i="62"/>
  <c r="AT41" i="62" s="1"/>
  <c r="AR41" i="62"/>
  <c r="AT43" i="62"/>
  <c r="AS43" i="62"/>
  <c r="AS45" i="62"/>
  <c r="AT45" i="62" s="1"/>
  <c r="AR45" i="62"/>
  <c r="AS47" i="62"/>
  <c r="AT47" i="62" s="1"/>
  <c r="AS51" i="62"/>
  <c r="AS53" i="62"/>
  <c r="AT53" i="62" s="1"/>
  <c r="AR53" i="62"/>
  <c r="AS55" i="62"/>
  <c r="AT55" i="62" s="1"/>
  <c r="AS57" i="62"/>
  <c r="AT57" i="62" s="1"/>
  <c r="AR57" i="62"/>
  <c r="AS59" i="62"/>
  <c r="AT59" i="62" s="1"/>
  <c r="AS61" i="62"/>
  <c r="AT61" i="62" s="1"/>
  <c r="AR61" i="62"/>
  <c r="AS63" i="62"/>
  <c r="AT63" i="62" s="1"/>
  <c r="AS65" i="62"/>
  <c r="AT65" i="62" s="1"/>
  <c r="AR65" i="62"/>
  <c r="AS69" i="62"/>
  <c r="AT69" i="62" s="1"/>
  <c r="AR69" i="62"/>
  <c r="AO71" i="62"/>
  <c r="AS73" i="62"/>
  <c r="AT73" i="62" s="1"/>
  <c r="AR73" i="62"/>
  <c r="AO75" i="62"/>
  <c r="AS77" i="62"/>
  <c r="AT77" i="62" s="1"/>
  <c r="AR77" i="62"/>
  <c r="AO79" i="62"/>
  <c r="AR81" i="62"/>
  <c r="AT81" i="62"/>
  <c r="AT84" i="62"/>
  <c r="AS86" i="62"/>
  <c r="AT86" i="62" s="1"/>
  <c r="AS88" i="62"/>
  <c r="AT88" i="62" s="1"/>
  <c r="AR88" i="62"/>
  <c r="AT85" i="62"/>
  <c r="AT89" i="62"/>
  <c r="AS49" i="62" l="1"/>
  <c r="AT49" i="62" s="1"/>
  <c r="AT68" i="62"/>
  <c r="AR15" i="62"/>
  <c r="AS23" i="62"/>
  <c r="AT23" i="62" s="1"/>
  <c r="AR23" i="62"/>
  <c r="AR68" i="62"/>
  <c r="AR28" i="62"/>
  <c r="AS35" i="62"/>
  <c r="AT35" i="62" s="1"/>
  <c r="AR35" i="62"/>
  <c r="AS67" i="62"/>
  <c r="AT67" i="62" s="1"/>
  <c r="AS31" i="62"/>
  <c r="AT31" i="62" s="1"/>
  <c r="AR31" i="62"/>
  <c r="AS27" i="62"/>
  <c r="AT27" i="62" s="1"/>
  <c r="AR27" i="62"/>
  <c r="AT51" i="62"/>
  <c r="AS16" i="62"/>
  <c r="AT16" i="62" s="1"/>
  <c r="AS33" i="62"/>
  <c r="AT33" i="62" s="1"/>
  <c r="AR33" i="62"/>
  <c r="AS25" i="62"/>
  <c r="AT25" i="62" s="1"/>
  <c r="AR25" i="62"/>
  <c r="AS79" i="62"/>
  <c r="AT79" i="62" s="1"/>
  <c r="AR79" i="62"/>
  <c r="AS75" i="62"/>
  <c r="AT75" i="62" s="1"/>
  <c r="AR75" i="62"/>
  <c r="AS71" i="62"/>
  <c r="AT71" i="62" s="1"/>
  <c r="AR71" i="62"/>
  <c r="AO90" i="62"/>
  <c r="AR7" i="62"/>
  <c r="AS7" i="62"/>
  <c r="AT7" i="62" s="1"/>
  <c r="AS37" i="62"/>
  <c r="AT37" i="62" s="1"/>
  <c r="AR37" i="62"/>
  <c r="AS29" i="62"/>
  <c r="AT29" i="62" s="1"/>
  <c r="AR29" i="62"/>
  <c r="AS21" i="62"/>
  <c r="AT21" i="62" s="1"/>
  <c r="AR21" i="62"/>
  <c r="AR91" i="62" l="1"/>
  <c r="AS90" i="62"/>
  <c r="AT90" i="62" s="1"/>
  <c r="AR90" i="62"/>
</calcChain>
</file>

<file path=xl/sharedStrings.xml><?xml version="1.0" encoding="utf-8"?>
<sst xmlns="http://schemas.openxmlformats.org/spreadsheetml/2006/main" count="2369" uniqueCount="367">
  <si>
    <t>ED</t>
  </si>
  <si>
    <t>UA</t>
  </si>
  <si>
    <t>AP</t>
  </si>
  <si>
    <t>M.Hanif Nawawi,S.Sos.I</t>
  </si>
  <si>
    <t>SO</t>
  </si>
  <si>
    <t>Sodikin,S.Pd.I</t>
  </si>
  <si>
    <t>SS</t>
  </si>
  <si>
    <t>FD</t>
  </si>
  <si>
    <t>NA</t>
  </si>
  <si>
    <t>Siti Sunarti,S.Pd.I</t>
  </si>
  <si>
    <t>AB</t>
  </si>
  <si>
    <t>Nur Faidah,S.Ag</t>
  </si>
  <si>
    <t>AN</t>
  </si>
  <si>
    <t>ST</t>
  </si>
  <si>
    <t>NF</t>
  </si>
  <si>
    <t>EM</t>
  </si>
  <si>
    <t>AC</t>
  </si>
  <si>
    <t>NN</t>
  </si>
  <si>
    <t>NI</t>
  </si>
  <si>
    <t>MB</t>
  </si>
  <si>
    <t>ML</t>
  </si>
  <si>
    <t>HM</t>
  </si>
  <si>
    <t>AM</t>
  </si>
  <si>
    <t>UN</t>
  </si>
  <si>
    <t>DF</t>
  </si>
  <si>
    <t>RK</t>
  </si>
  <si>
    <t>ER</t>
  </si>
  <si>
    <t>RB</t>
  </si>
  <si>
    <t>DS</t>
  </si>
  <si>
    <t>QD</t>
  </si>
  <si>
    <t>HC</t>
  </si>
  <si>
    <t>HD</t>
  </si>
  <si>
    <t>LT</t>
  </si>
  <si>
    <t>NK</t>
  </si>
  <si>
    <t>UR</t>
  </si>
  <si>
    <t>Umar,S.Pd</t>
  </si>
  <si>
    <t>NJ</t>
  </si>
  <si>
    <t>RZ</t>
  </si>
  <si>
    <t>M.Abdul Rozaq,S.Pd</t>
  </si>
  <si>
    <t>DW</t>
  </si>
  <si>
    <t>KL</t>
  </si>
  <si>
    <t>MH</t>
  </si>
  <si>
    <t>LA</t>
  </si>
  <si>
    <t>AI</t>
  </si>
  <si>
    <t>A</t>
  </si>
  <si>
    <t>B</t>
  </si>
  <si>
    <t>C</t>
  </si>
  <si>
    <t>Jam</t>
  </si>
  <si>
    <t>Akhmad Ulil Albab, S.Pd.I</t>
  </si>
  <si>
    <t>Hj.Sri Apriyati,S.Pd.I, M.Pd.I</t>
  </si>
  <si>
    <t>H. Nasikhun ZM,S.Ag, M.Pd.I</t>
  </si>
  <si>
    <t>Abdul Jalal,S.Ag, M.Pd.I</t>
  </si>
  <si>
    <t>Anita Listyaningsih, S.Pd</t>
  </si>
  <si>
    <t>Hj. Sutinah, S.Pd</t>
  </si>
  <si>
    <t>Amaliah Choirunnisa, S.Pd, M.Pd</t>
  </si>
  <si>
    <t>Nuning, S.Pd</t>
  </si>
  <si>
    <t>Misbakhul Munir, S.Pd</t>
  </si>
  <si>
    <t>Masluri ,S.Pd</t>
  </si>
  <si>
    <t>Hany Milati, S.Pd</t>
  </si>
  <si>
    <t>Dra.Hj. Anik Muriani</t>
  </si>
  <si>
    <t>Ulin Nuha, S.Pd</t>
  </si>
  <si>
    <t>Dewi Fitria, S.Pd</t>
  </si>
  <si>
    <t>Rokhama, S.Pd</t>
  </si>
  <si>
    <t>Endang Rohmatun, S.Pd</t>
  </si>
  <si>
    <t>Reza Binawan, S.Pd</t>
  </si>
  <si>
    <t>Desintya IAAS, S.Pd, M.Pd.I</t>
  </si>
  <si>
    <t>Qudwatus Sholihah, S.Pd</t>
  </si>
  <si>
    <t>Drs.H.M.Herucahyo, M.Pd.I</t>
  </si>
  <si>
    <t>Dra.Hj.Siti Hudaniyah, M.Pd</t>
  </si>
  <si>
    <t>Dra.Hj. Liftianah</t>
  </si>
  <si>
    <t>Dawud Ribowo, S.Pd</t>
  </si>
  <si>
    <t>Drs. Mohari</t>
  </si>
  <si>
    <t>Lia Leliana, S.Pd</t>
  </si>
  <si>
    <t>Aryana Irawati ,S.Pd</t>
  </si>
  <si>
    <t>EA</t>
  </si>
  <si>
    <t>Eka Arif Nugraha, S.Pd</t>
  </si>
  <si>
    <t>D</t>
  </si>
  <si>
    <t>Piket</t>
  </si>
  <si>
    <t>Waktu</t>
  </si>
  <si>
    <t>Kelas VII</t>
  </si>
  <si>
    <t>E</t>
  </si>
  <si>
    <t>F</t>
  </si>
  <si>
    <t>G</t>
  </si>
  <si>
    <t>H</t>
  </si>
  <si>
    <t>I</t>
  </si>
  <si>
    <t>J</t>
  </si>
  <si>
    <t>Kelas VIII</t>
  </si>
  <si>
    <t>WALI KELAS</t>
  </si>
  <si>
    <t>Sholat Dhuha dan Tadarus Al-Qur'an</t>
  </si>
  <si>
    <t>Hari</t>
  </si>
  <si>
    <t>Senin</t>
  </si>
  <si>
    <t>Selasa</t>
  </si>
  <si>
    <t>Rabu</t>
  </si>
  <si>
    <t>Sabtu</t>
  </si>
  <si>
    <t>K</t>
  </si>
  <si>
    <t>MTs NEGERI 1 JEPARA KAB. JEPARA</t>
  </si>
  <si>
    <t>Istirahat</t>
  </si>
  <si>
    <t>Istirahat I</t>
  </si>
  <si>
    <t>FA</t>
  </si>
  <si>
    <t>HN</t>
  </si>
  <si>
    <t>Sholat Dhuha dan Tadarus  Al-Qur'an</t>
  </si>
  <si>
    <t>KAMIS</t>
  </si>
  <si>
    <t>IN</t>
  </si>
  <si>
    <t>SV</t>
  </si>
  <si>
    <t>Silva Ahza, S.Pd.</t>
  </si>
  <si>
    <t>Zaenal Abidin, S.Pd</t>
  </si>
  <si>
    <t>JUM'AT</t>
  </si>
  <si>
    <t>Rika Budi Lestari, S.Pd.</t>
  </si>
  <si>
    <t>BL</t>
  </si>
  <si>
    <t>KN</t>
  </si>
  <si>
    <t>Nur Khasan, S.Pd.</t>
  </si>
  <si>
    <t>FR</t>
  </si>
  <si>
    <t>Firman Abdul Rakhman, S.Pd.</t>
  </si>
  <si>
    <t>RG</t>
  </si>
  <si>
    <t>M. Rudi Giatmoko, S.Pd.</t>
  </si>
  <si>
    <t>RN</t>
  </si>
  <si>
    <t>Rofiatun Nikmah, S.Pd.</t>
  </si>
  <si>
    <t>KU</t>
  </si>
  <si>
    <t>Kurnia Ulin Nuha, S.Pd.</t>
  </si>
  <si>
    <t>EW</t>
  </si>
  <si>
    <t>Eny Wijayanti, S.Pd.</t>
  </si>
  <si>
    <t>MF</t>
  </si>
  <si>
    <t>M. Fathul Khoiri, S.Pd.</t>
  </si>
  <si>
    <t>07.00 - 07.15</t>
  </si>
  <si>
    <t>09.55 - 10.15</t>
  </si>
  <si>
    <t>H. Nor Faiq, S.Pd.I, S.Pd, M.Pd</t>
  </si>
  <si>
    <t>Hj. Kholilah, S.Pd</t>
  </si>
  <si>
    <t>07.15 - 07.55</t>
  </si>
  <si>
    <t>07.55 - 08.35</t>
  </si>
  <si>
    <t>08.35 - 09.15</t>
  </si>
  <si>
    <t>09.15 - 09.55</t>
  </si>
  <si>
    <t>10.15 - 10.55</t>
  </si>
  <si>
    <t>10.55 - 11.35</t>
  </si>
  <si>
    <t>Hj.Nailil Hikmah, S.Pd</t>
  </si>
  <si>
    <t>11.35 - 12.05</t>
  </si>
  <si>
    <t>12.05 - 12.40</t>
  </si>
  <si>
    <t>Sholat Dhuhur Berjamaah (30 menit )</t>
  </si>
  <si>
    <t>LM</t>
  </si>
  <si>
    <t>Lismudmainah, SS</t>
  </si>
  <si>
    <t>IPA</t>
  </si>
  <si>
    <t>MA</t>
  </si>
  <si>
    <t>Mariska Fitriani, S.Pd</t>
  </si>
  <si>
    <t>UPACARA/ KHITOBAH/ DHUHA</t>
  </si>
  <si>
    <t>12.05 - 12.45</t>
  </si>
  <si>
    <t>12.45 - 13.25</t>
  </si>
  <si>
    <t>HA</t>
  </si>
  <si>
    <t>Hanik Nurul Faizah, M.Pd</t>
  </si>
  <si>
    <t>NR</t>
  </si>
  <si>
    <t>ND</t>
  </si>
  <si>
    <t>Nadia Amalia Falentin, S.Pd</t>
  </si>
  <si>
    <t>08.50 - 09.25</t>
  </si>
  <si>
    <t>09.25 - 09.45</t>
  </si>
  <si>
    <t>09.45 - 10.20</t>
  </si>
  <si>
    <t>10.20 - 10.55</t>
  </si>
  <si>
    <t>07.00 - 07.40</t>
  </si>
  <si>
    <t>07.40 - 08.20</t>
  </si>
  <si>
    <t>08.20 - 09.00</t>
  </si>
  <si>
    <t xml:space="preserve">PEMBAGIAN TUGAS GURU DALAM KEGIATAN BELAJAR MENGAJAR </t>
  </si>
  <si>
    <t>LAMPIRAN II</t>
  </si>
  <si>
    <t>No.</t>
  </si>
  <si>
    <t>Kode</t>
  </si>
  <si>
    <t>Nama</t>
  </si>
  <si>
    <t>MAP</t>
  </si>
  <si>
    <t>Kelas VII / Jumlah Jam</t>
  </si>
  <si>
    <t>Jml - 7</t>
  </si>
  <si>
    <t>Kelas  VIII / Jumlah Jam</t>
  </si>
  <si>
    <t>Jml - 8</t>
  </si>
  <si>
    <t>Kelas  IX / Jumlah Jam</t>
  </si>
  <si>
    <t>Jml - 9</t>
  </si>
  <si>
    <t>Jml 789</t>
  </si>
  <si>
    <t>Tugas</t>
  </si>
  <si>
    <t>Total</t>
  </si>
  <si>
    <t>Tambahan</t>
  </si>
  <si>
    <t>7A</t>
  </si>
  <si>
    <t>7B</t>
  </si>
  <si>
    <t>7C</t>
  </si>
  <si>
    <t>7D</t>
  </si>
  <si>
    <t>7E</t>
  </si>
  <si>
    <t>7F</t>
  </si>
  <si>
    <t>7G</t>
  </si>
  <si>
    <t>7H</t>
  </si>
  <si>
    <t>7i</t>
  </si>
  <si>
    <t>7j</t>
  </si>
  <si>
    <t>7k</t>
  </si>
  <si>
    <t>8A</t>
  </si>
  <si>
    <t>8B</t>
  </si>
  <si>
    <t>8C</t>
  </si>
  <si>
    <t>8D</t>
  </si>
  <si>
    <t>8E</t>
  </si>
  <si>
    <t>8F</t>
  </si>
  <si>
    <t>8G</t>
  </si>
  <si>
    <t>8H</t>
  </si>
  <si>
    <t>8I</t>
  </si>
  <si>
    <t>8J</t>
  </si>
  <si>
    <t>8K</t>
  </si>
  <si>
    <t>9A</t>
  </si>
  <si>
    <t>9B</t>
  </si>
  <si>
    <t>9C</t>
  </si>
  <si>
    <t>9D</t>
  </si>
  <si>
    <t>9E</t>
  </si>
  <si>
    <t>9F</t>
  </si>
  <si>
    <t>9G</t>
  </si>
  <si>
    <t>9H</t>
  </si>
  <si>
    <t>9I</t>
  </si>
  <si>
    <t>9J</t>
  </si>
  <si>
    <t>9K</t>
  </si>
  <si>
    <t>QH</t>
  </si>
  <si>
    <t>AA</t>
  </si>
  <si>
    <t>FQ</t>
  </si>
  <si>
    <t>SKI</t>
  </si>
  <si>
    <t>BAR</t>
  </si>
  <si>
    <t>BI</t>
  </si>
  <si>
    <t>Amaliah Choirunnisa, M.Pd</t>
  </si>
  <si>
    <t>Zaenal Abidin</t>
  </si>
  <si>
    <t>BING</t>
  </si>
  <si>
    <t>Hj. Nailil Hikmah, S.Pd</t>
  </si>
  <si>
    <t>BJW</t>
  </si>
  <si>
    <t>BK</t>
  </si>
  <si>
    <t>Mariska Fitriani, S.Pd.</t>
  </si>
  <si>
    <t>IPS</t>
  </si>
  <si>
    <t>MTK</t>
  </si>
  <si>
    <t>PJAS</t>
  </si>
  <si>
    <t>INF</t>
  </si>
  <si>
    <t>Catatan :</t>
  </si>
  <si>
    <t xml:space="preserve">Tugas Tambahan  </t>
  </si>
  <si>
    <t>: A. Wakamad/ Ka.Lab/ Ka.Pus</t>
  </si>
  <si>
    <t xml:space="preserve">  B.  Wali Kelas</t>
  </si>
  <si>
    <t>FZ</t>
  </si>
  <si>
    <t>Ema Fatimatuz Zahroh, S.Pd.I</t>
  </si>
  <si>
    <t>AK</t>
  </si>
  <si>
    <t>Arda ksatria K Gusti, S.Pd.I</t>
  </si>
  <si>
    <t>UM</t>
  </si>
  <si>
    <t>Khoirul Umam, S.Pd.</t>
  </si>
  <si>
    <t>Arda Ksatria K Gusti, S.Pd.I</t>
  </si>
  <si>
    <t>RH</t>
  </si>
  <si>
    <t>Rifqi Hidayat, S.Pd.</t>
  </si>
  <si>
    <t>Rifqi Hidayat, S.Pd</t>
  </si>
  <si>
    <t>H. M.Fida Busyro K,S.Ag, M.Pd.I</t>
  </si>
  <si>
    <t>Muhammad Aslam Jalaly, LC</t>
  </si>
  <si>
    <t>Hj. T.Nor Djannah, S.Pd</t>
  </si>
  <si>
    <t>ER  dan  RB</t>
  </si>
  <si>
    <t>AJ</t>
  </si>
  <si>
    <t>Nurul Hidayati, S.Pd.</t>
  </si>
  <si>
    <t>LA  dan  EW</t>
  </si>
  <si>
    <t>MS</t>
  </si>
  <si>
    <t>M. Syafiq Hasywafa, S.Pd</t>
  </si>
  <si>
    <t>Muhammad Syafiq Hasywafa, S.Pd</t>
  </si>
  <si>
    <t>Vv</t>
  </si>
  <si>
    <t>Vivid Fitriyati, S.Pd</t>
  </si>
  <si>
    <t>Ismi Muwakhidah, S.Pd</t>
  </si>
  <si>
    <t>IM</t>
  </si>
  <si>
    <t>NU</t>
  </si>
  <si>
    <t>Nurul Uzdhma Tastia, M.Ag</t>
  </si>
  <si>
    <t>09.00- 09.40</t>
  </si>
  <si>
    <t>09.40 - 10.20</t>
  </si>
  <si>
    <t>10.20 - 10.40</t>
  </si>
  <si>
    <t>10.40 - 11.20</t>
  </si>
  <si>
    <t>11.20 - 12.00</t>
  </si>
  <si>
    <t>12.00 - 12.25</t>
  </si>
  <si>
    <t>12.25 - 13.05</t>
  </si>
  <si>
    <t>13.05 - 13.45</t>
  </si>
  <si>
    <t>Sholat Dhuha/Tadarus  Al-Qur'an dan kegiatan Literasi</t>
  </si>
  <si>
    <t>07.40 - 08.15</t>
  </si>
  <si>
    <t>08.15 - 08.50</t>
  </si>
  <si>
    <t>09.25 - 10.00</t>
  </si>
  <si>
    <t>10.00 - 10.20</t>
  </si>
  <si>
    <t>10.55 - 11.30</t>
  </si>
  <si>
    <t>11.30 - 12.05</t>
  </si>
  <si>
    <t>Jum'at Khusu' / Senam Kesegaran Jasmani</t>
  </si>
  <si>
    <t>Lailatus Shifa, S.Pd</t>
  </si>
  <si>
    <t>LS</t>
  </si>
  <si>
    <t>Maftuhatul Baroroh, S.Pd</t>
  </si>
  <si>
    <t>BR</t>
  </si>
  <si>
    <t>Ramadhani Kasih Anggreini, S.Pd</t>
  </si>
  <si>
    <t>KA</t>
  </si>
  <si>
    <t>Zubaidah, S.Pd</t>
  </si>
  <si>
    <t>ZB</t>
  </si>
  <si>
    <t>Nurul Hidayati, S.Pd</t>
  </si>
  <si>
    <t>MTs NEGERI 1 JEPARA TAHUN AJARAN 2025/2026</t>
  </si>
  <si>
    <t>Pend. Pancasila</t>
  </si>
  <si>
    <t>Seni &amp; Pky</t>
  </si>
  <si>
    <t>H. Edhi Jauhariy, S.Ag</t>
  </si>
  <si>
    <t>Hj. Ema Yusnanita,S.Pd, M.Pd.</t>
  </si>
  <si>
    <t>Hj. Neneng K. Maula, S.Pd</t>
  </si>
  <si>
    <t>Hj.Sri Apriyati,M.Pd.I</t>
  </si>
  <si>
    <t>Lailatus Shifa. S.Pd</t>
  </si>
  <si>
    <t>FQ + AA</t>
  </si>
  <si>
    <t>RK  dan  NN</t>
  </si>
  <si>
    <t>DS  dan  AK</t>
  </si>
  <si>
    <t>BL  dan  LM</t>
  </si>
  <si>
    <t>IN  dan  MH</t>
  </si>
  <si>
    <t>Irna Anis Safitri, S.Pd</t>
  </si>
  <si>
    <t>IA</t>
  </si>
  <si>
    <t>Umi Shalma Audina Dafianti, S.Pd</t>
  </si>
  <si>
    <t>Umi Shalma A.Dafianti, S.Pd</t>
  </si>
  <si>
    <t>US</t>
  </si>
  <si>
    <t>Hasanah Fitria, S.Pd</t>
  </si>
  <si>
    <t>Ivan Satya Kurnia Rahman, S.Pd</t>
  </si>
  <si>
    <t>Ahmad Sholahuddin, S.Pd</t>
  </si>
  <si>
    <t>HF</t>
  </si>
  <si>
    <t>AS</t>
  </si>
  <si>
    <t>IV</t>
  </si>
  <si>
    <t>mtk</t>
  </si>
  <si>
    <t>b.Jawa</t>
  </si>
  <si>
    <t>Kelas IX</t>
  </si>
  <si>
    <t>Ko. 2X3 rb</t>
  </si>
  <si>
    <t>Ko. 2X2 rb</t>
  </si>
  <si>
    <t>Jepara, 02 Januari 2026</t>
  </si>
  <si>
    <t xml:space="preserve">Berlaku : 05 Januari 2026 </t>
  </si>
  <si>
    <t xml:space="preserve">    </t>
  </si>
  <si>
    <t>NU&amp;HM</t>
  </si>
  <si>
    <t>PSL</t>
  </si>
  <si>
    <t>EM&amp;HA</t>
  </si>
  <si>
    <t>NI&amp;EM</t>
  </si>
  <si>
    <t>AK&amp;HM</t>
  </si>
  <si>
    <t>NI&amp;HA</t>
  </si>
  <si>
    <t>NU&amp;NI</t>
  </si>
  <si>
    <t>NU&amp;HA</t>
  </si>
  <si>
    <t>AK&amp;HA</t>
  </si>
  <si>
    <t>NI&amp;NU</t>
  </si>
  <si>
    <t>No</t>
  </si>
  <si>
    <t>Kelas</t>
  </si>
  <si>
    <t>Guru Pengampu</t>
  </si>
  <si>
    <t>Kamis</t>
  </si>
  <si>
    <t>Jumat</t>
  </si>
  <si>
    <t>Jam ke-</t>
  </si>
  <si>
    <t>3-4</t>
  </si>
  <si>
    <t>5-6</t>
  </si>
  <si>
    <t>7-8</t>
  </si>
  <si>
    <t>7I</t>
  </si>
  <si>
    <t>7J</t>
  </si>
  <si>
    <t>7K</t>
  </si>
  <si>
    <t>Jum'at</t>
  </si>
  <si>
    <t>4-5</t>
  </si>
  <si>
    <t>Nama Guru</t>
  </si>
  <si>
    <t>Jumlah Pertemuan</t>
  </si>
  <si>
    <t>Hj. Ema Yusnanita, S.Pd, M.Pd.</t>
  </si>
  <si>
    <t>JP</t>
  </si>
  <si>
    <t>3–4</t>
  </si>
  <si>
    <t>7C, 7D</t>
  </si>
  <si>
    <t>5–6</t>
  </si>
  <si>
    <t>7A, 7B</t>
  </si>
  <si>
    <t>Hj. Ema Yusnanita, S.Pd, M.Pd</t>
  </si>
  <si>
    <t>7–8</t>
  </si>
  <si>
    <t>8I, 8J, 8K</t>
  </si>
  <si>
    <t>7E, 7F</t>
  </si>
  <si>
    <t>7G, 7H</t>
  </si>
  <si>
    <t>7I, 7J, 7K</t>
  </si>
  <si>
    <t>8A, 8B</t>
  </si>
  <si>
    <t>8C, 8D</t>
  </si>
  <si>
    <t>8E, 8F</t>
  </si>
  <si>
    <t>4–5</t>
  </si>
  <si>
    <t>8G, 8H</t>
  </si>
  <si>
    <t>MATEMATIKA</t>
  </si>
  <si>
    <t>SENIN</t>
  </si>
  <si>
    <t>RABU</t>
  </si>
  <si>
    <t>SELASA</t>
  </si>
  <si>
    <t>SABTU</t>
  </si>
  <si>
    <t>Hj. Liftianah</t>
  </si>
  <si>
    <t>Umar, S.Pd</t>
  </si>
  <si>
    <t>BHS.ARAB</t>
  </si>
  <si>
    <t>JADWAL OLIMPADE  KHUSUS</t>
  </si>
  <si>
    <t>(JAM PAGI - SIANG)</t>
  </si>
  <si>
    <t xml:space="preserve"> BL</t>
  </si>
  <si>
    <t>Kepala Madrasah</t>
  </si>
  <si>
    <r>
      <rPr>
        <b/>
        <sz val="11"/>
        <color theme="1"/>
        <rFont val="Calibri"/>
        <family val="2"/>
        <scheme val="minor"/>
      </rPr>
      <t>TAFRIKHAN</t>
    </r>
    <r>
      <rPr>
        <sz val="11"/>
        <color theme="1"/>
        <rFont val="Calibri"/>
        <family val="2"/>
        <scheme val="minor"/>
      </rPr>
      <t xml:space="preserve"> 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</si>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</sst>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ahnschrift Light Condensed"/>
      <family val="2"/>
    </font>
    <font>
      <b/>
      <sz val="10"/>
      <name val="Bahnschrift Light Condensed"/>
      <family val="2"/>
    </font>
    <font>
      <sz val="12"/>
      <name val="Cambria"/>
      <family val="1"/>
      <scheme val="major"/>
    </font>
    <font>
      <b/>
      <sz val="10"/>
      <color theme="0"/>
      <name val="Bahnschrift Light Condensed"/>
      <family val="2"/>
    </font>
    <font>
      <b/>
      <sz val="11"/>
      <name val="Candara"/>
      <family val="2"/>
    </font>
    <font>
      <b/>
      <sz val="8"/>
      <name val="Bahnschrift Light Condensed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name val="Calibri"/>
      <family val="2"/>
      <scheme val="minor"/>
    </font>
    <font>
      <b/>
      <sz val="10"/>
      <name val="Bahnschrift Light Condensed"/>
      <family val="2"/>
    </font>
    <font>
      <b/>
      <u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0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name val="Bahnschrift Light Condensed"/>
      <family val="2"/>
    </font>
    <font>
      <sz val="11"/>
      <color rgb="FFFF0000"/>
      <name val="Calibri"/>
      <family val="2"/>
      <scheme val="minor"/>
    </font>
    <font>
      <b/>
      <sz val="8"/>
      <color rgb="FFFF0000"/>
      <name val="Candara"/>
      <family val="2"/>
    </font>
    <font>
      <b/>
      <sz val="11"/>
      <color rgb="FFFF0000"/>
      <name val="Candara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shrinkToFit="1"/>
    </xf>
    <xf numFmtId="20" fontId="3" fillId="2" borderId="1" xfId="0" applyNumberFormat="1" applyFont="1" applyFill="1" applyBorder="1" applyAlignment="1">
      <alignment horizontal="centerContinuous" vertical="center" shrinkToFit="1"/>
    </xf>
    <xf numFmtId="0" fontId="3" fillId="0" borderId="1" xfId="0" applyFont="1" applyBorder="1"/>
    <xf numFmtId="0" fontId="0" fillId="0" borderId="0" xfId="0" applyFill="1"/>
    <xf numFmtId="0" fontId="5" fillId="0" borderId="0" xfId="0" applyFont="1" applyBorder="1"/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" fillId="2" borderId="0" xfId="0" applyFont="1" applyFill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Continuous"/>
    </xf>
    <xf numFmtId="0" fontId="7" fillId="0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Continuous"/>
    </xf>
    <xf numFmtId="0" fontId="7" fillId="0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20" fontId="3" fillId="2" borderId="8" xfId="0" applyNumberFormat="1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" xfId="0" applyFont="1" applyFill="1" applyBorder="1"/>
    <xf numFmtId="0" fontId="7" fillId="0" borderId="9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Continuous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Continuous"/>
    </xf>
    <xf numFmtId="0" fontId="7" fillId="0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Continuous"/>
    </xf>
    <xf numFmtId="0" fontId="7" fillId="0" borderId="14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20" fontId="3" fillId="2" borderId="21" xfId="0" applyNumberFormat="1" applyFont="1" applyFill="1" applyBorder="1" applyAlignment="1">
      <alignment horizontal="center" vertical="center" shrinkToFit="1"/>
    </xf>
    <xf numFmtId="0" fontId="7" fillId="0" borderId="2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2" fillId="0" borderId="1" xfId="0" applyFont="1" applyBorder="1"/>
    <xf numFmtId="0" fontId="7" fillId="3" borderId="1" xfId="0" applyFont="1" applyFill="1" applyBorder="1" applyAlignment="1">
      <alignment horizontal="centerContinuous"/>
    </xf>
    <xf numFmtId="0" fontId="7" fillId="3" borderId="3" xfId="0" applyFont="1" applyFill="1" applyBorder="1" applyAlignment="1">
      <alignment horizontal="centerContinuous"/>
    </xf>
    <xf numFmtId="0" fontId="7" fillId="0" borderId="7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7" fillId="0" borderId="10" xfId="0" applyFont="1" applyBorder="1"/>
    <xf numFmtId="0" fontId="7" fillId="2" borderId="10" xfId="0" applyFont="1" applyFill="1" applyBorder="1"/>
    <xf numFmtId="0" fontId="2" fillId="0" borderId="3" xfId="0" applyFont="1" applyBorder="1"/>
    <xf numFmtId="0" fontId="7" fillId="3" borderId="8" xfId="0" applyFont="1" applyFill="1" applyBorder="1" applyAlignment="1">
      <alignment horizontal="centerContinuous"/>
    </xf>
    <xf numFmtId="0" fontId="7" fillId="0" borderId="2" xfId="0" applyFont="1" applyBorder="1"/>
    <xf numFmtId="0" fontId="7" fillId="3" borderId="14" xfId="0" applyFont="1" applyFill="1" applyBorder="1" applyAlignment="1">
      <alignment horizontal="centerContinuous"/>
    </xf>
    <xf numFmtId="0" fontId="2" fillId="0" borderId="19" xfId="0" applyFont="1" applyBorder="1"/>
    <xf numFmtId="0" fontId="2" fillId="0" borderId="0" xfId="0" applyFont="1" applyBorder="1"/>
    <xf numFmtId="0" fontId="7" fillId="0" borderId="18" xfId="0" applyFont="1" applyBorder="1"/>
    <xf numFmtId="0" fontId="2" fillId="0" borderId="13" xfId="0" applyFont="1" applyBorder="1"/>
    <xf numFmtId="0" fontId="0" fillId="2" borderId="0" xfId="0" applyFill="1"/>
    <xf numFmtId="0" fontId="7" fillId="2" borderId="8" xfId="0" applyFont="1" applyFill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2" borderId="3" xfId="0" applyFont="1" applyFill="1" applyBorder="1" applyAlignment="1">
      <alignment horizontal="centerContinuous"/>
    </xf>
    <xf numFmtId="0" fontId="7" fillId="3" borderId="5" xfId="0" applyFont="1" applyFill="1" applyBorder="1" applyAlignment="1">
      <alignment horizontal="centerContinuous"/>
    </xf>
    <xf numFmtId="0" fontId="7" fillId="2" borderId="5" xfId="0" applyFont="1" applyFill="1" applyBorder="1" applyAlignment="1">
      <alignment horizontal="centerContinuous"/>
    </xf>
    <xf numFmtId="0" fontId="7" fillId="2" borderId="3" xfId="0" applyFont="1" applyFill="1" applyBorder="1" applyAlignment="1">
      <alignment horizontal="center" vertical="center"/>
    </xf>
    <xf numFmtId="0" fontId="14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Continuous"/>
    </xf>
    <xf numFmtId="0" fontId="7" fillId="0" borderId="8" xfId="0" applyFont="1" applyFill="1" applyBorder="1" applyAlignment="1">
      <alignment horizontal="centerContinuous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2" fillId="0" borderId="32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36" xfId="0" applyBorder="1"/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0" fontId="21" fillId="7" borderId="1" xfId="0" applyFont="1" applyFill="1" applyBorder="1"/>
    <xf numFmtId="0" fontId="2" fillId="2" borderId="3" xfId="0" applyFont="1" applyFill="1" applyBorder="1" applyAlignment="1">
      <alignment horizontal="center"/>
    </xf>
    <xf numFmtId="0" fontId="0" fillId="7" borderId="1" xfId="0" applyFont="1" applyFill="1" applyBorder="1"/>
    <xf numFmtId="0" fontId="13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8" borderId="1" xfId="0" applyFont="1" applyFill="1" applyBorder="1"/>
    <xf numFmtId="0" fontId="23" fillId="8" borderId="1" xfId="0" applyFont="1" applyFill="1" applyBorder="1"/>
    <xf numFmtId="0" fontId="13" fillId="8" borderId="8" xfId="0" applyFont="1" applyFill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24" fillId="0" borderId="39" xfId="0" applyFont="1" applyBorder="1"/>
    <xf numFmtId="0" fontId="2" fillId="0" borderId="39" xfId="0" applyFont="1" applyBorder="1" applyAlignment="1">
      <alignment horizontal="center"/>
    </xf>
    <xf numFmtId="0" fontId="24" fillId="0" borderId="5" xfId="0" applyFont="1" applyBorder="1"/>
    <xf numFmtId="0" fontId="2" fillId="0" borderId="39" xfId="0" applyFont="1" applyBorder="1"/>
    <xf numFmtId="0" fontId="2" fillId="0" borderId="40" xfId="0" applyFont="1" applyBorder="1"/>
    <xf numFmtId="0" fontId="0" fillId="0" borderId="41" xfId="0" applyFont="1" applyFill="1" applyBorder="1"/>
    <xf numFmtId="0" fontId="0" fillId="0" borderId="41" xfId="0" applyFill="1" applyBorder="1"/>
    <xf numFmtId="0" fontId="0" fillId="0" borderId="41" xfId="0" applyBorder="1"/>
    <xf numFmtId="0" fontId="22" fillId="0" borderId="0" xfId="0" applyFont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right"/>
    </xf>
    <xf numFmtId="0" fontId="16" fillId="0" borderId="0" xfId="0" applyFont="1"/>
    <xf numFmtId="0" fontId="0" fillId="8" borderId="1" xfId="0" applyFill="1" applyBorder="1"/>
    <xf numFmtId="0" fontId="5" fillId="2" borderId="1" xfId="0" applyFont="1" applyFill="1" applyBorder="1"/>
    <xf numFmtId="0" fontId="0" fillId="2" borderId="0" xfId="0" applyFill="1" applyBorder="1"/>
    <xf numFmtId="0" fontId="5" fillId="0" borderId="1" xfId="0" applyFont="1" applyBorder="1"/>
    <xf numFmtId="0" fontId="2" fillId="6" borderId="8" xfId="0" applyFont="1" applyFill="1" applyBorder="1" applyAlignment="1">
      <alignment horizontal="center"/>
    </xf>
    <xf numFmtId="0" fontId="0" fillId="6" borderId="0" xfId="0" applyFill="1"/>
    <xf numFmtId="0" fontId="0" fillId="2" borderId="36" xfId="0" applyFill="1" applyBorder="1"/>
    <xf numFmtId="0" fontId="0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5" fillId="2" borderId="0" xfId="0" applyFont="1" applyFill="1" applyBorder="1"/>
    <xf numFmtId="0" fontId="11" fillId="0" borderId="1" xfId="0" applyFont="1" applyBorder="1"/>
    <xf numFmtId="0" fontId="12" fillId="2" borderId="0" xfId="0" applyFont="1" applyFill="1" applyBorder="1"/>
    <xf numFmtId="0" fontId="11" fillId="2" borderId="0" xfId="0" applyFont="1" applyFill="1" applyBorder="1"/>
    <xf numFmtId="0" fontId="0" fillId="0" borderId="0" xfId="0" applyFont="1" applyFill="1" applyBorder="1"/>
    <xf numFmtId="0" fontId="13" fillId="7" borderId="1" xfId="0" applyFont="1" applyFill="1" applyBorder="1"/>
    <xf numFmtId="0" fontId="0" fillId="9" borderId="4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3" fillId="2" borderId="1" xfId="0" applyFont="1" applyFill="1" applyBorder="1"/>
    <xf numFmtId="0" fontId="25" fillId="0" borderId="0" xfId="0" applyFont="1" applyAlignment="1">
      <alignment horizontal="left" vertical="center" indent="15"/>
    </xf>
    <xf numFmtId="0" fontId="26" fillId="0" borderId="0" xfId="0" applyFont="1" applyAlignment="1">
      <alignment horizontal="left" vertical="center" indent="15"/>
    </xf>
    <xf numFmtId="0" fontId="27" fillId="0" borderId="0" xfId="0" applyFont="1" applyAlignment="1">
      <alignment vertical="center"/>
    </xf>
    <xf numFmtId="0" fontId="12" fillId="2" borderId="1" xfId="0" applyFont="1" applyFill="1" applyBorder="1"/>
    <xf numFmtId="0" fontId="24" fillId="0" borderId="0" xfId="0" applyFont="1" applyBorder="1"/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0" fillId="8" borderId="1" xfId="0" applyFont="1" applyFill="1" applyBorder="1"/>
    <xf numFmtId="0" fontId="28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1" fillId="0" borderId="0" xfId="0" applyFont="1" applyBorder="1"/>
    <xf numFmtId="0" fontId="29" fillId="2" borderId="1" xfId="0" applyFont="1" applyFill="1" applyBorder="1"/>
    <xf numFmtId="0" fontId="30" fillId="0" borderId="0" xfId="0" applyFont="1"/>
    <xf numFmtId="0" fontId="30" fillId="0" borderId="1" xfId="0" applyFont="1" applyBorder="1"/>
    <xf numFmtId="0" fontId="29" fillId="0" borderId="1" xfId="0" applyFont="1" applyFill="1" applyBorder="1"/>
    <xf numFmtId="0" fontId="29" fillId="0" borderId="0" xfId="0" applyFont="1"/>
    <xf numFmtId="0" fontId="29" fillId="0" borderId="0" xfId="0" applyFont="1" applyFill="1"/>
    <xf numFmtId="0" fontId="29" fillId="2" borderId="0" xfId="0" applyFont="1" applyFill="1"/>
    <xf numFmtId="0" fontId="29" fillId="0" borderId="1" xfId="0" applyFont="1" applyBorder="1"/>
    <xf numFmtId="0" fontId="11" fillId="0" borderId="1" xfId="0" applyFont="1" applyFill="1" applyBorder="1"/>
    <xf numFmtId="0" fontId="29" fillId="0" borderId="0" xfId="0" applyFont="1" applyBorder="1"/>
    <xf numFmtId="0" fontId="29" fillId="0" borderId="0" xfId="0" applyFont="1" applyFill="1" applyBorder="1"/>
    <xf numFmtId="0" fontId="29" fillId="2" borderId="0" xfId="0" applyFont="1" applyFill="1" applyBorder="1"/>
    <xf numFmtId="0" fontId="2" fillId="8" borderId="1" xfId="0" applyFont="1" applyFill="1" applyBorder="1"/>
    <xf numFmtId="0" fontId="2" fillId="8" borderId="8" xfId="0" applyFont="1" applyFill="1" applyBorder="1"/>
    <xf numFmtId="0" fontId="2" fillId="8" borderId="8" xfId="0" applyFont="1" applyFill="1" applyBorder="1" applyAlignment="1">
      <alignment horizontal="center"/>
    </xf>
    <xf numFmtId="0" fontId="0" fillId="8" borderId="8" xfId="0" applyFont="1" applyFill="1" applyBorder="1"/>
    <xf numFmtId="0" fontId="0" fillId="0" borderId="1" xfId="0" applyBorder="1" applyAlignment="1">
      <alignment horizontal="left" vertical="center"/>
    </xf>
    <xf numFmtId="0" fontId="2" fillId="10" borderId="1" xfId="0" applyFont="1" applyFill="1" applyBorder="1" applyAlignment="1">
      <alignment horizontal="center"/>
    </xf>
    <xf numFmtId="0" fontId="2" fillId="7" borderId="1" xfId="0" applyFont="1" applyFill="1" applyBorder="1"/>
    <xf numFmtId="0" fontId="0" fillId="2" borderId="5" xfId="0" applyFill="1" applyBorder="1"/>
    <xf numFmtId="0" fontId="0" fillId="11" borderId="1" xfId="0" applyFill="1" applyBorder="1" applyAlignment="1">
      <alignment horizontal="left" vertical="center"/>
    </xf>
    <xf numFmtId="0" fontId="4" fillId="12" borderId="0" xfId="0" applyFont="1" applyFill="1"/>
    <xf numFmtId="0" fontId="14" fillId="12" borderId="0" xfId="0" applyFont="1" applyFill="1"/>
    <xf numFmtId="0" fontId="2" fillId="13" borderId="1" xfId="0" applyFont="1" applyFill="1" applyBorder="1" applyAlignment="1">
      <alignment horizontal="center"/>
    </xf>
    <xf numFmtId="0" fontId="0" fillId="2" borderId="37" xfId="0" applyFill="1" applyBorder="1"/>
    <xf numFmtId="0" fontId="11" fillId="7" borderId="1" xfId="0" applyFont="1" applyFill="1" applyBorder="1"/>
    <xf numFmtId="0" fontId="0" fillId="7" borderId="1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3" fillId="2" borderId="8" xfId="0" applyFont="1" applyFill="1" applyBorder="1"/>
    <xf numFmtId="0" fontId="23" fillId="2" borderId="36" xfId="0" applyFont="1" applyFill="1" applyBorder="1"/>
    <xf numFmtId="0" fontId="21" fillId="8" borderId="1" xfId="0" applyFont="1" applyFill="1" applyBorder="1"/>
    <xf numFmtId="0" fontId="21" fillId="8" borderId="8" xfId="0" applyFont="1" applyFill="1" applyBorder="1"/>
    <xf numFmtId="0" fontId="2" fillId="7" borderId="3" xfId="0" applyFont="1" applyFill="1" applyBorder="1" applyAlignment="1">
      <alignment horizontal="center"/>
    </xf>
    <xf numFmtId="0" fontId="0" fillId="7" borderId="3" xfId="0" applyFill="1" applyBorder="1"/>
    <xf numFmtId="0" fontId="2" fillId="14" borderId="36" xfId="0" applyFont="1" applyFill="1" applyBorder="1"/>
    <xf numFmtId="0" fontId="2" fillId="15" borderId="1" xfId="0" applyFont="1" applyFill="1" applyBorder="1" applyAlignment="1">
      <alignment horizontal="center"/>
    </xf>
    <xf numFmtId="20" fontId="3" fillId="2" borderId="11" xfId="0" applyNumberFormat="1" applyFont="1" applyFill="1" applyBorder="1" applyAlignment="1">
      <alignment horizontal="center" vertical="center" shrinkToFit="1"/>
    </xf>
    <xf numFmtId="0" fontId="7" fillId="0" borderId="43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7" fillId="2" borderId="2" xfId="0" applyFont="1" applyFill="1" applyBorder="1"/>
    <xf numFmtId="0" fontId="7" fillId="0" borderId="8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Continuous"/>
    </xf>
    <xf numFmtId="0" fontId="3" fillId="2" borderId="0" xfId="0" applyFont="1" applyFill="1" applyBorder="1" applyAlignment="1">
      <alignment horizontal="center" vertical="center" shrinkToFit="1"/>
    </xf>
    <xf numFmtId="0" fontId="7" fillId="14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7" fillId="17" borderId="45" xfId="0" applyFont="1" applyFill="1" applyBorder="1" applyAlignment="1">
      <alignment horizontal="center" vertical="center"/>
    </xf>
    <xf numFmtId="0" fontId="7" fillId="17" borderId="43" xfId="0" applyFont="1" applyFill="1" applyBorder="1" applyAlignment="1">
      <alignment horizontal="center" vertical="center"/>
    </xf>
    <xf numFmtId="0" fontId="7" fillId="17" borderId="44" xfId="0" applyFont="1" applyFill="1" applyBorder="1" applyAlignment="1">
      <alignment horizontal="center" vertical="center"/>
    </xf>
    <xf numFmtId="0" fontId="7" fillId="17" borderId="46" xfId="0" applyFont="1" applyFill="1" applyBorder="1" applyAlignment="1">
      <alignment horizontal="center" vertical="center"/>
    </xf>
    <xf numFmtId="0" fontId="7" fillId="17" borderId="40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7" fillId="17" borderId="8" xfId="0" applyFont="1" applyFill="1" applyBorder="1" applyAlignment="1">
      <alignment horizontal="center" vertical="center"/>
    </xf>
    <xf numFmtId="0" fontId="7" fillId="17" borderId="9" xfId="0" applyFont="1" applyFill="1" applyBorder="1" applyAlignment="1">
      <alignment horizontal="center" vertical="center"/>
    </xf>
    <xf numFmtId="0" fontId="7" fillId="17" borderId="11" xfId="0" applyFont="1" applyFill="1" applyBorder="1" applyAlignment="1">
      <alignment horizontal="center" vertical="center"/>
    </xf>
    <xf numFmtId="0" fontId="7" fillId="17" borderId="24" xfId="0" applyFont="1" applyFill="1" applyBorder="1" applyAlignment="1">
      <alignment horizontal="center" vertical="center"/>
    </xf>
    <xf numFmtId="0" fontId="7" fillId="17" borderId="21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32" fillId="7" borderId="1" xfId="0" applyFont="1" applyFill="1" applyBorder="1"/>
    <xf numFmtId="0" fontId="0" fillId="14" borderId="36" xfId="0" applyFill="1" applyBorder="1"/>
    <xf numFmtId="0" fontId="7" fillId="19" borderId="1" xfId="0" applyFont="1" applyFill="1" applyBorder="1" applyAlignment="1">
      <alignment horizontal="center" vertical="center"/>
    </xf>
    <xf numFmtId="0" fontId="7" fillId="19" borderId="9" xfId="0" applyFont="1" applyFill="1" applyBorder="1" applyAlignment="1">
      <alignment horizontal="center" vertical="center"/>
    </xf>
    <xf numFmtId="0" fontId="7" fillId="19" borderId="21" xfId="0" applyFont="1" applyFill="1" applyBorder="1" applyAlignment="1">
      <alignment horizontal="center" vertical="center"/>
    </xf>
    <xf numFmtId="0" fontId="7" fillId="19" borderId="47" xfId="0" applyFont="1" applyFill="1" applyBorder="1" applyAlignment="1">
      <alignment horizontal="center" vertical="center"/>
    </xf>
    <xf numFmtId="0" fontId="7" fillId="19" borderId="8" xfId="0" applyFont="1" applyFill="1" applyBorder="1" applyAlignment="1">
      <alignment horizontal="center" vertical="center"/>
    </xf>
    <xf numFmtId="0" fontId="7" fillId="16" borderId="45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16" borderId="14" xfId="0" applyFont="1" applyFill="1" applyBorder="1" applyAlignment="1">
      <alignment horizontal="center" vertical="center"/>
    </xf>
    <xf numFmtId="0" fontId="23" fillId="0" borderId="1" xfId="0" applyFont="1" applyBorder="1"/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23" fillId="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2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0" fillId="7" borderId="1" xfId="0" applyFont="1" applyFill="1" applyBorder="1" applyAlignment="1">
      <alignment vertical="center"/>
    </xf>
    <xf numFmtId="0" fontId="36" fillId="7" borderId="1" xfId="0" applyFont="1" applyFill="1" applyBorder="1" applyAlignment="1">
      <alignment vertical="center"/>
    </xf>
    <xf numFmtId="0" fontId="36" fillId="7" borderId="1" xfId="0" applyFont="1" applyFill="1" applyBorder="1" applyAlignment="1">
      <alignment horizontal="center" vertical="center"/>
    </xf>
    <xf numFmtId="0" fontId="23" fillId="7" borderId="1" xfId="0" applyFont="1" applyFill="1" applyBorder="1"/>
    <xf numFmtId="0" fontId="2" fillId="2" borderId="1" xfId="0" applyFont="1" applyFill="1" applyBorder="1"/>
    <xf numFmtId="0" fontId="0" fillId="7" borderId="1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/>
    </xf>
    <xf numFmtId="0" fontId="38" fillId="7" borderId="1" xfId="0" applyFont="1" applyFill="1" applyBorder="1" applyAlignment="1">
      <alignment horizontal="left" vertical="center"/>
    </xf>
    <xf numFmtId="0" fontId="39" fillId="7" borderId="1" xfId="0" applyFont="1" applyFill="1" applyBorder="1" applyAlignment="1">
      <alignment horizontal="left" vertical="center"/>
    </xf>
    <xf numFmtId="0" fontId="35" fillId="0" borderId="0" xfId="0" applyFont="1"/>
    <xf numFmtId="0" fontId="30" fillId="21" borderId="1" xfId="0" applyFont="1" applyFill="1" applyBorder="1"/>
    <xf numFmtId="0" fontId="23" fillId="0" borderId="1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2" borderId="26" xfId="0" applyFont="1" applyFill="1" applyBorder="1" applyAlignment="1">
      <alignment horizontal="center"/>
    </xf>
    <xf numFmtId="0" fontId="12" fillId="0" borderId="2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0" fillId="0" borderId="28" xfId="0" applyNumberFormat="1" applyBorder="1" applyAlignment="1">
      <alignment horizontal="center" vertical="center" textRotation="90"/>
    </xf>
    <xf numFmtId="0" fontId="0" fillId="0" borderId="6" xfId="0" applyNumberFormat="1" applyBorder="1" applyAlignment="1">
      <alignment horizontal="center" vertical="center" textRotation="90"/>
    </xf>
    <xf numFmtId="0" fontId="0" fillId="0" borderId="25" xfId="0" applyNumberFormat="1" applyBorder="1" applyAlignment="1">
      <alignment horizontal="center" vertical="center" textRotation="90"/>
    </xf>
    <xf numFmtId="0" fontId="0" fillId="3" borderId="2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9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0" fontId="12" fillId="0" borderId="30" xfId="0" applyFont="1" applyFill="1" applyBorder="1" applyAlignment="1">
      <alignment horizontal="center" vertical="center" textRotation="90"/>
    </xf>
    <xf numFmtId="0" fontId="12" fillId="0" borderId="0" xfId="0" applyFont="1" applyFill="1" applyBorder="1" applyAlignment="1">
      <alignment horizontal="center" vertical="center" textRotation="90"/>
    </xf>
    <xf numFmtId="0" fontId="12" fillId="0" borderId="2" xfId="0" applyFont="1" applyFill="1" applyBorder="1" applyAlignment="1">
      <alignment horizontal="center" vertical="center" textRotation="90"/>
    </xf>
    <xf numFmtId="0" fontId="34" fillId="16" borderId="11" xfId="0" applyFont="1" applyFill="1" applyBorder="1" applyAlignment="1">
      <alignment horizontal="center" vertical="center"/>
    </xf>
    <xf numFmtId="0" fontId="34" fillId="16" borderId="48" xfId="0" applyFont="1" applyFill="1" applyBorder="1" applyAlignment="1">
      <alignment horizontal="center" vertical="center"/>
    </xf>
    <xf numFmtId="0" fontId="34" fillId="16" borderId="12" xfId="0" applyFont="1" applyFill="1" applyBorder="1" applyAlignment="1">
      <alignment horizontal="center" vertical="center"/>
    </xf>
    <xf numFmtId="0" fontId="33" fillId="16" borderId="11" xfId="0" applyFont="1" applyFill="1" applyBorder="1" applyAlignment="1">
      <alignment horizontal="center" vertical="center"/>
    </xf>
    <xf numFmtId="0" fontId="33" fillId="16" borderId="12" xfId="0" applyFont="1" applyFill="1" applyBorder="1" applyAlignment="1">
      <alignment horizontal="center" vertical="center"/>
    </xf>
    <xf numFmtId="0" fontId="33" fillId="16" borderId="25" xfId="0" applyFont="1" applyFill="1" applyBorder="1" applyAlignment="1">
      <alignment horizontal="center" vertical="center"/>
    </xf>
    <xf numFmtId="0" fontId="33" fillId="16" borderId="7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" fillId="0" borderId="22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14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</cellXfs>
  <cellStyles count="1">
    <cellStyle name="Normal" xfId="0" builtinId="0"/>
  </cellStyles>
  <dxfs count="288"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99"/>
      <color rgb="FFFFFFFF"/>
      <color rgb="FFD0E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6"/>
  <sheetViews>
    <sheetView topLeftCell="A16" zoomScale="90" zoomScaleNormal="90" workbookViewId="0">
      <selection activeCell="AH33" sqref="AH33"/>
    </sheetView>
  </sheetViews>
  <sheetFormatPr defaultRowHeight="15"/>
  <cols>
    <col min="1" max="1" width="4.140625" customWidth="1"/>
    <col min="2" max="2" width="3.85546875" customWidth="1"/>
    <col min="3" max="3" width="28.5703125" customWidth="1"/>
    <col min="4" max="4" width="10.28515625" customWidth="1"/>
    <col min="5" max="15" width="3.28515625" customWidth="1"/>
    <col min="16" max="16" width="4.7109375" customWidth="1"/>
    <col min="17" max="27" width="3.28515625" customWidth="1"/>
    <col min="28" max="28" width="4.7109375" customWidth="1"/>
    <col min="29" max="39" width="3.28515625" customWidth="1"/>
    <col min="40" max="40" width="4.85546875" customWidth="1"/>
    <col min="41" max="41" width="6.28515625" customWidth="1"/>
    <col min="42" max="42" width="4.85546875" customWidth="1"/>
    <col min="43" max="43" width="5.140625" customWidth="1"/>
    <col min="44" max="44" width="5.85546875" customWidth="1"/>
    <col min="47" max="47" width="10.7109375" customWidth="1"/>
  </cols>
  <sheetData>
    <row r="1" spans="1:46" ht="15.75">
      <c r="A1" s="274" t="s">
        <v>157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</row>
    <row r="2" spans="1:46" ht="15.75">
      <c r="A2" s="275" t="s">
        <v>278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5"/>
      <c r="AP2" s="275"/>
      <c r="AQ2" s="275"/>
      <c r="AR2" s="275"/>
    </row>
    <row r="3" spans="1:46" ht="16.5" thickBot="1">
      <c r="A3" s="81"/>
      <c r="B3" s="81">
        <v>1</v>
      </c>
      <c r="C3" s="81">
        <v>2</v>
      </c>
      <c r="D3" s="81">
        <v>3</v>
      </c>
      <c r="E3" s="81">
        <v>4</v>
      </c>
      <c r="F3" s="81">
        <v>5</v>
      </c>
      <c r="G3" s="81">
        <v>6</v>
      </c>
      <c r="H3" s="81">
        <v>7</v>
      </c>
      <c r="I3" s="81">
        <v>8</v>
      </c>
      <c r="J3" s="81">
        <v>9</v>
      </c>
      <c r="K3" s="81">
        <v>10</v>
      </c>
      <c r="L3" s="81">
        <v>11</v>
      </c>
      <c r="M3" s="81">
        <v>12</v>
      </c>
      <c r="N3" s="81">
        <v>13</v>
      </c>
      <c r="O3" s="81">
        <v>14</v>
      </c>
      <c r="P3" s="81">
        <v>15</v>
      </c>
      <c r="Q3" s="81">
        <v>16</v>
      </c>
      <c r="R3" s="81">
        <v>17</v>
      </c>
      <c r="S3" s="81">
        <v>18</v>
      </c>
      <c r="T3" s="81">
        <v>19</v>
      </c>
      <c r="U3" s="81">
        <v>20</v>
      </c>
      <c r="V3" s="81">
        <v>21</v>
      </c>
      <c r="W3" s="81">
        <v>22</v>
      </c>
      <c r="X3" s="81">
        <v>23</v>
      </c>
      <c r="Y3" s="81">
        <v>24</v>
      </c>
      <c r="Z3" s="81">
        <v>25</v>
      </c>
      <c r="AA3" s="81">
        <v>26</v>
      </c>
      <c r="AB3" s="81">
        <v>27</v>
      </c>
      <c r="AC3" s="81">
        <v>28</v>
      </c>
      <c r="AD3" s="81">
        <v>29</v>
      </c>
      <c r="AE3" s="81">
        <v>30</v>
      </c>
      <c r="AF3" s="81">
        <v>31</v>
      </c>
      <c r="AG3" s="81">
        <v>32</v>
      </c>
      <c r="AH3" s="81">
        <v>33</v>
      </c>
      <c r="AI3" s="81">
        <v>34</v>
      </c>
      <c r="AJ3" s="81">
        <v>35</v>
      </c>
      <c r="AK3" s="81">
        <v>36</v>
      </c>
      <c r="AL3" s="81">
        <v>37</v>
      </c>
      <c r="AM3" s="81">
        <v>38</v>
      </c>
      <c r="AN3" s="82">
        <v>39</v>
      </c>
      <c r="AO3" s="276" t="s">
        <v>158</v>
      </c>
      <c r="AP3" s="276"/>
      <c r="AQ3" s="276"/>
      <c r="AR3" s="276"/>
    </row>
    <row r="4" spans="1:46" ht="16.5" customHeight="1" thickTop="1">
      <c r="A4" s="277" t="s">
        <v>159</v>
      </c>
      <c r="B4" s="280" t="s">
        <v>160</v>
      </c>
      <c r="C4" s="283" t="s">
        <v>161</v>
      </c>
      <c r="D4" s="286" t="s">
        <v>162</v>
      </c>
      <c r="E4" s="289" t="s">
        <v>163</v>
      </c>
      <c r="F4" s="290"/>
      <c r="G4" s="290"/>
      <c r="H4" s="290"/>
      <c r="I4" s="290"/>
      <c r="J4" s="290"/>
      <c r="K4" s="290"/>
      <c r="L4" s="290"/>
      <c r="M4" s="290"/>
      <c r="N4" s="290"/>
      <c r="O4" s="291"/>
      <c r="P4" s="295" t="s">
        <v>164</v>
      </c>
      <c r="Q4" s="289" t="s">
        <v>165</v>
      </c>
      <c r="R4" s="290"/>
      <c r="S4" s="290"/>
      <c r="T4" s="290"/>
      <c r="U4" s="290"/>
      <c r="V4" s="290"/>
      <c r="W4" s="290"/>
      <c r="X4" s="290"/>
      <c r="Y4" s="290"/>
      <c r="Z4" s="290"/>
      <c r="AA4" s="291"/>
      <c r="AB4" s="295" t="s">
        <v>166</v>
      </c>
      <c r="AC4" s="289" t="s">
        <v>167</v>
      </c>
      <c r="AD4" s="290"/>
      <c r="AE4" s="290"/>
      <c r="AF4" s="290"/>
      <c r="AG4" s="290"/>
      <c r="AH4" s="290"/>
      <c r="AI4" s="290"/>
      <c r="AJ4" s="290"/>
      <c r="AK4" s="290"/>
      <c r="AL4" s="290"/>
      <c r="AM4" s="291"/>
      <c r="AN4" s="295" t="s">
        <v>168</v>
      </c>
      <c r="AO4" s="298" t="s">
        <v>169</v>
      </c>
      <c r="AP4" s="289" t="s">
        <v>170</v>
      </c>
      <c r="AQ4" s="290"/>
      <c r="AR4" s="83" t="s">
        <v>171</v>
      </c>
    </row>
    <row r="5" spans="1:46" ht="15.75">
      <c r="A5" s="278"/>
      <c r="B5" s="281"/>
      <c r="C5" s="284"/>
      <c r="D5" s="287"/>
      <c r="E5" s="292"/>
      <c r="F5" s="293"/>
      <c r="G5" s="293"/>
      <c r="H5" s="293"/>
      <c r="I5" s="293"/>
      <c r="J5" s="293"/>
      <c r="K5" s="293"/>
      <c r="L5" s="293"/>
      <c r="M5" s="293"/>
      <c r="N5" s="293"/>
      <c r="O5" s="294"/>
      <c r="P5" s="296"/>
      <c r="Q5" s="292"/>
      <c r="R5" s="293"/>
      <c r="S5" s="293"/>
      <c r="T5" s="293"/>
      <c r="U5" s="293"/>
      <c r="V5" s="293"/>
      <c r="W5" s="293"/>
      <c r="X5" s="293"/>
      <c r="Y5" s="293"/>
      <c r="Z5" s="293"/>
      <c r="AA5" s="294"/>
      <c r="AB5" s="296"/>
      <c r="AC5" s="292"/>
      <c r="AD5" s="293"/>
      <c r="AE5" s="293"/>
      <c r="AF5" s="293"/>
      <c r="AG5" s="293"/>
      <c r="AH5" s="293"/>
      <c r="AI5" s="293"/>
      <c r="AJ5" s="293"/>
      <c r="AK5" s="293"/>
      <c r="AL5" s="293"/>
      <c r="AM5" s="294"/>
      <c r="AN5" s="296"/>
      <c r="AO5" s="299"/>
      <c r="AP5" s="292" t="s">
        <v>172</v>
      </c>
      <c r="AQ5" s="293"/>
      <c r="AR5" s="84" t="s">
        <v>47</v>
      </c>
    </row>
    <row r="6" spans="1:46" ht="15.75">
      <c r="A6" s="279"/>
      <c r="B6" s="282"/>
      <c r="C6" s="285"/>
      <c r="D6" s="288"/>
      <c r="E6" s="143" t="s">
        <v>173</v>
      </c>
      <c r="F6" s="144" t="s">
        <v>174</v>
      </c>
      <c r="G6" s="144" t="s">
        <v>175</v>
      </c>
      <c r="H6" s="144" t="s">
        <v>176</v>
      </c>
      <c r="I6" s="144" t="s">
        <v>177</v>
      </c>
      <c r="J6" s="144" t="s">
        <v>178</v>
      </c>
      <c r="K6" s="144" t="s">
        <v>179</v>
      </c>
      <c r="L6" s="144" t="s">
        <v>180</v>
      </c>
      <c r="M6" s="144" t="s">
        <v>181</v>
      </c>
      <c r="N6" s="144" t="s">
        <v>182</v>
      </c>
      <c r="O6" s="144" t="s">
        <v>183</v>
      </c>
      <c r="P6" s="297"/>
      <c r="Q6" s="143" t="s">
        <v>184</v>
      </c>
      <c r="R6" s="144" t="s">
        <v>185</v>
      </c>
      <c r="S6" s="144" t="s">
        <v>186</v>
      </c>
      <c r="T6" s="144" t="s">
        <v>187</v>
      </c>
      <c r="U6" s="144" t="s">
        <v>188</v>
      </c>
      <c r="V6" s="144" t="s">
        <v>189</v>
      </c>
      <c r="W6" s="144" t="s">
        <v>190</v>
      </c>
      <c r="X6" s="144" t="s">
        <v>191</v>
      </c>
      <c r="Y6" s="144" t="s">
        <v>192</v>
      </c>
      <c r="Z6" s="144" t="s">
        <v>193</v>
      </c>
      <c r="AA6" s="144" t="s">
        <v>194</v>
      </c>
      <c r="AB6" s="297"/>
      <c r="AC6" s="143" t="s">
        <v>195</v>
      </c>
      <c r="AD6" s="144" t="s">
        <v>196</v>
      </c>
      <c r="AE6" s="144" t="s">
        <v>197</v>
      </c>
      <c r="AF6" s="144" t="s">
        <v>198</v>
      </c>
      <c r="AG6" s="144" t="s">
        <v>199</v>
      </c>
      <c r="AH6" s="144" t="s">
        <v>200</v>
      </c>
      <c r="AI6" s="144" t="s">
        <v>201</v>
      </c>
      <c r="AJ6" s="144" t="s">
        <v>202</v>
      </c>
      <c r="AK6" s="144" t="s">
        <v>203</v>
      </c>
      <c r="AL6" s="144" t="s">
        <v>204</v>
      </c>
      <c r="AM6" s="144" t="s">
        <v>205</v>
      </c>
      <c r="AN6" s="297"/>
      <c r="AO6" s="300"/>
      <c r="AP6" s="86" t="s">
        <v>44</v>
      </c>
      <c r="AQ6" s="86" t="s">
        <v>45</v>
      </c>
      <c r="AR6" s="87"/>
      <c r="AS6" s="88"/>
      <c r="AT6" s="88"/>
    </row>
    <row r="7" spans="1:46" ht="14.1" customHeight="1">
      <c r="A7" s="89">
        <v>1</v>
      </c>
      <c r="B7" s="90" t="s">
        <v>0</v>
      </c>
      <c r="C7" s="90" t="s">
        <v>281</v>
      </c>
      <c r="D7" s="86" t="s">
        <v>206</v>
      </c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93">
        <f>SUM(E7:O7)</f>
        <v>0</v>
      </c>
      <c r="Q7" s="91"/>
      <c r="R7" s="85"/>
      <c r="S7" s="91"/>
      <c r="T7" s="85"/>
      <c r="U7" s="85"/>
      <c r="V7" s="85"/>
      <c r="W7" s="92"/>
      <c r="X7" s="85"/>
      <c r="Y7" s="85"/>
      <c r="Z7" s="85"/>
      <c r="AA7" s="85"/>
      <c r="AB7" s="93">
        <f>SUM(Q7:AA7)</f>
        <v>0</v>
      </c>
      <c r="AC7" s="94">
        <v>2</v>
      </c>
      <c r="AD7" s="91">
        <v>2</v>
      </c>
      <c r="AE7" s="133">
        <v>2</v>
      </c>
      <c r="AF7" s="91">
        <v>2</v>
      </c>
      <c r="AG7" s="91">
        <v>2</v>
      </c>
      <c r="AH7" s="91">
        <v>2</v>
      </c>
      <c r="AI7" s="91">
        <v>2</v>
      </c>
      <c r="AJ7" s="91">
        <v>2</v>
      </c>
      <c r="AK7" s="91">
        <v>2</v>
      </c>
      <c r="AL7" s="91"/>
      <c r="AM7" s="91"/>
      <c r="AN7" s="93">
        <f>SUM(AC7:AM7)</f>
        <v>18</v>
      </c>
      <c r="AO7" s="93">
        <f>AN7+AB7+P7</f>
        <v>18</v>
      </c>
      <c r="AP7" s="93"/>
      <c r="AQ7" s="93">
        <v>6</v>
      </c>
      <c r="AR7" s="95">
        <f t="shared" ref="AR7:AR87" si="0">SUM(AO7:AQ7)</f>
        <v>24</v>
      </c>
      <c r="AS7">
        <f>AO7</f>
        <v>18</v>
      </c>
      <c r="AT7" t="b">
        <f t="shared" ref="AT7:AT89" si="1">AO7=AS7</f>
        <v>1</v>
      </c>
    </row>
    <row r="8" spans="1:46" ht="14.1" customHeight="1">
      <c r="A8" s="89">
        <v>2</v>
      </c>
      <c r="B8" s="93" t="s">
        <v>1</v>
      </c>
      <c r="C8" s="93" t="s">
        <v>48</v>
      </c>
      <c r="D8" s="85" t="s">
        <v>206</v>
      </c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93">
        <f>SUM(E8:O8)</f>
        <v>0</v>
      </c>
      <c r="Q8" s="96"/>
      <c r="R8" s="96">
        <v>2</v>
      </c>
      <c r="S8" s="96">
        <v>2</v>
      </c>
      <c r="T8" s="96">
        <v>2</v>
      </c>
      <c r="U8" s="96">
        <v>2</v>
      </c>
      <c r="V8" s="96">
        <v>2</v>
      </c>
      <c r="W8" s="96">
        <v>2</v>
      </c>
      <c r="X8" s="96">
        <v>2</v>
      </c>
      <c r="Y8" s="98">
        <v>2</v>
      </c>
      <c r="Z8" s="96">
        <v>2</v>
      </c>
      <c r="AA8" s="96">
        <v>2</v>
      </c>
      <c r="AB8" s="93">
        <f>SUM(Q8:AA8)</f>
        <v>20</v>
      </c>
      <c r="AC8" s="98"/>
      <c r="AD8" s="98"/>
      <c r="AE8" s="98"/>
      <c r="AF8" s="98"/>
      <c r="AG8" s="98"/>
      <c r="AH8" s="98"/>
      <c r="AI8" s="96"/>
      <c r="AJ8" s="94"/>
      <c r="AK8" s="98"/>
      <c r="AL8" s="98">
        <v>2</v>
      </c>
      <c r="AM8" s="98">
        <v>2</v>
      </c>
      <c r="AN8" s="93">
        <f>SUM(AC8:AM8)</f>
        <v>4</v>
      </c>
      <c r="AO8" s="93">
        <f>AN8+AB8+P8</f>
        <v>24</v>
      </c>
      <c r="AP8" s="93"/>
      <c r="AQ8" s="93"/>
      <c r="AR8" s="95">
        <f>SUM(AO8:AQ8)</f>
        <v>24</v>
      </c>
      <c r="AS8">
        <f>AO8</f>
        <v>24</v>
      </c>
      <c r="AT8" t="b">
        <f>AO8=AS8</f>
        <v>1</v>
      </c>
    </row>
    <row r="9" spans="1:46" ht="14.1" customHeight="1">
      <c r="A9" s="89">
        <v>3</v>
      </c>
      <c r="B9" s="151" t="s">
        <v>270</v>
      </c>
      <c r="C9" s="177" t="s">
        <v>269</v>
      </c>
      <c r="D9" s="152" t="s">
        <v>206</v>
      </c>
      <c r="E9" s="223">
        <v>2</v>
      </c>
      <c r="F9" s="223">
        <v>2</v>
      </c>
      <c r="G9" s="223">
        <v>2</v>
      </c>
      <c r="H9" s="223">
        <v>2</v>
      </c>
      <c r="I9" s="223">
        <v>2</v>
      </c>
      <c r="J9" s="223">
        <v>2</v>
      </c>
      <c r="K9" s="223">
        <v>2</v>
      </c>
      <c r="L9" s="223">
        <v>2</v>
      </c>
      <c r="M9" s="223">
        <v>2</v>
      </c>
      <c r="N9" s="223">
        <v>2</v>
      </c>
      <c r="O9" s="223">
        <v>2</v>
      </c>
      <c r="P9" s="93">
        <f>SUM(E9:O9)</f>
        <v>22</v>
      </c>
      <c r="Q9" s="96">
        <v>2</v>
      </c>
      <c r="R9" s="96"/>
      <c r="S9" s="96"/>
      <c r="T9" s="96"/>
      <c r="U9" s="96"/>
      <c r="V9" s="96"/>
      <c r="W9" s="96"/>
      <c r="X9" s="96"/>
      <c r="Y9" s="98"/>
      <c r="Z9" s="96"/>
      <c r="AA9" s="96"/>
      <c r="AB9" s="93">
        <f>SUM(Q9:AA9)</f>
        <v>2</v>
      </c>
      <c r="AC9" s="98"/>
      <c r="AD9" s="98"/>
      <c r="AE9" s="98"/>
      <c r="AF9" s="98"/>
      <c r="AG9" s="98"/>
      <c r="AH9" s="98"/>
      <c r="AI9" s="96"/>
      <c r="AJ9" s="94"/>
      <c r="AK9" s="98"/>
      <c r="AL9" s="98"/>
      <c r="AM9" s="98"/>
      <c r="AN9" s="93">
        <f>SUM(AC9:AM9)</f>
        <v>0</v>
      </c>
      <c r="AO9" s="93">
        <f>AN9+AB9+P9</f>
        <v>24</v>
      </c>
      <c r="AP9" s="93"/>
      <c r="AQ9" s="93"/>
      <c r="AR9" s="95">
        <f>SUM(AO9:AQ9)</f>
        <v>24</v>
      </c>
      <c r="AS9">
        <f>AO9</f>
        <v>24</v>
      </c>
      <c r="AT9" t="b">
        <f>AO9=AS9</f>
        <v>1</v>
      </c>
    </row>
    <row r="10" spans="1:46" ht="14.1" customHeight="1">
      <c r="A10" s="89">
        <v>4</v>
      </c>
      <c r="B10" s="99" t="s">
        <v>2</v>
      </c>
      <c r="C10" s="99" t="s">
        <v>49</v>
      </c>
      <c r="D10" s="100" t="s">
        <v>207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93">
        <f t="shared" ref="P10:P83" si="2">SUM(E10:O10)</f>
        <v>0</v>
      </c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93">
        <f t="shared" ref="AB10:AB83" si="3">SUM(Q10:AA10)</f>
        <v>0</v>
      </c>
      <c r="AC10" s="223">
        <v>2</v>
      </c>
      <c r="AD10" s="223">
        <v>2</v>
      </c>
      <c r="AE10" s="223">
        <v>2</v>
      </c>
      <c r="AF10" s="223">
        <v>2</v>
      </c>
      <c r="AG10" s="223">
        <v>2</v>
      </c>
      <c r="AH10" s="223">
        <v>2</v>
      </c>
      <c r="AI10" s="223"/>
      <c r="AJ10" s="223"/>
      <c r="AK10" s="223"/>
      <c r="AL10" s="223"/>
      <c r="AM10" s="223"/>
      <c r="AN10" s="93">
        <f t="shared" ref="AN10:AN89" si="4">SUM(AC10:AM10)</f>
        <v>12</v>
      </c>
      <c r="AO10" s="93">
        <f t="shared" ref="AO10:AO89" si="5">AN10+AB10+P10</f>
        <v>12</v>
      </c>
      <c r="AP10" s="99">
        <v>12</v>
      </c>
      <c r="AQ10" s="99"/>
      <c r="AR10" s="95">
        <f t="shared" si="0"/>
        <v>24</v>
      </c>
      <c r="AS10">
        <f t="shared" ref="AS10:AS89" si="6">AO10</f>
        <v>12</v>
      </c>
      <c r="AT10" t="b">
        <f t="shared" si="1"/>
        <v>1</v>
      </c>
    </row>
    <row r="11" spans="1:46" ht="14.1" customHeight="1">
      <c r="A11" s="89">
        <v>5</v>
      </c>
      <c r="B11" s="99" t="s">
        <v>227</v>
      </c>
      <c r="C11" s="176" t="s">
        <v>228</v>
      </c>
      <c r="D11" s="100" t="s">
        <v>207</v>
      </c>
      <c r="E11" s="101">
        <v>2</v>
      </c>
      <c r="F11" s="101">
        <v>2</v>
      </c>
      <c r="G11" s="102">
        <v>2</v>
      </c>
      <c r="H11" s="101">
        <v>2</v>
      </c>
      <c r="I11" s="101">
        <v>2</v>
      </c>
      <c r="J11" s="101">
        <v>2</v>
      </c>
      <c r="K11" s="108">
        <v>2</v>
      </c>
      <c r="L11" s="102"/>
      <c r="M11" s="102"/>
      <c r="N11" s="102"/>
      <c r="O11" s="102"/>
      <c r="P11" s="93">
        <f>SUM(E11:O11)</f>
        <v>14</v>
      </c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93">
        <f>SUM(Q11:AA11)</f>
        <v>0</v>
      </c>
      <c r="AC11" s="224"/>
      <c r="AD11" s="224"/>
      <c r="AE11" s="224"/>
      <c r="AF11" s="224"/>
      <c r="AG11" s="224"/>
      <c r="AH11" s="223"/>
      <c r="AI11" s="223">
        <v>2</v>
      </c>
      <c r="AJ11" s="223">
        <v>2</v>
      </c>
      <c r="AK11" s="223">
        <v>2</v>
      </c>
      <c r="AL11" s="223">
        <v>2</v>
      </c>
      <c r="AM11" s="223">
        <v>2</v>
      </c>
      <c r="AN11" s="93">
        <f>SUM(AC11:AM11)</f>
        <v>10</v>
      </c>
      <c r="AO11" s="93">
        <f>AN11+AB11+P11</f>
        <v>24</v>
      </c>
      <c r="AP11" s="104"/>
      <c r="AQ11" s="142">
        <v>6</v>
      </c>
      <c r="AR11" s="95">
        <f>SUM(AO11:AQ11)</f>
        <v>30</v>
      </c>
      <c r="AS11">
        <f>AO11</f>
        <v>24</v>
      </c>
      <c r="AT11" t="b">
        <f>AO11=AS11</f>
        <v>1</v>
      </c>
    </row>
    <row r="12" spans="1:46" ht="14.1" customHeight="1">
      <c r="A12" s="89">
        <v>6</v>
      </c>
      <c r="B12" s="99" t="s">
        <v>251</v>
      </c>
      <c r="C12" s="99" t="s">
        <v>252</v>
      </c>
      <c r="D12" s="100" t="s">
        <v>207</v>
      </c>
      <c r="E12" s="101"/>
      <c r="F12" s="101"/>
      <c r="G12" s="101"/>
      <c r="H12" s="101"/>
      <c r="I12" s="101"/>
      <c r="J12" s="101"/>
      <c r="K12" s="102"/>
      <c r="L12" s="102">
        <v>2</v>
      </c>
      <c r="M12" s="102">
        <v>2</v>
      </c>
      <c r="N12" s="102">
        <v>2</v>
      </c>
      <c r="O12" s="102">
        <v>2</v>
      </c>
      <c r="P12" s="93">
        <f>SUM(E12:O12)</f>
        <v>8</v>
      </c>
      <c r="Q12" s="102">
        <v>2</v>
      </c>
      <c r="R12" s="102">
        <v>2</v>
      </c>
      <c r="S12" s="102">
        <v>2</v>
      </c>
      <c r="T12" s="102">
        <v>2</v>
      </c>
      <c r="U12" s="102">
        <v>2</v>
      </c>
      <c r="V12" s="102">
        <v>2</v>
      </c>
      <c r="W12" s="102">
        <v>2</v>
      </c>
      <c r="X12" s="102">
        <v>2</v>
      </c>
      <c r="Y12" s="102"/>
      <c r="Z12" s="102"/>
      <c r="AA12" s="102"/>
      <c r="AB12" s="93">
        <f>SUM(Q12:AA12)</f>
        <v>16</v>
      </c>
      <c r="AC12" s="224"/>
      <c r="AD12" s="224"/>
      <c r="AE12" s="224"/>
      <c r="AF12" s="224"/>
      <c r="AG12" s="224"/>
      <c r="AH12" s="223"/>
      <c r="AI12" s="223"/>
      <c r="AJ12" s="223"/>
      <c r="AK12" s="223"/>
      <c r="AL12" s="223"/>
      <c r="AM12" s="223"/>
      <c r="AN12" s="93">
        <f>SUM(AC12:AM12)</f>
        <v>0</v>
      </c>
      <c r="AO12" s="93">
        <f>AN12+AB12+P12</f>
        <v>24</v>
      </c>
      <c r="AP12" s="104"/>
      <c r="AQ12" s="142"/>
      <c r="AR12" s="95">
        <f>SUM(AO12:AQ12)</f>
        <v>24</v>
      </c>
      <c r="AS12">
        <f>AO12</f>
        <v>24</v>
      </c>
      <c r="AT12" t="b">
        <f>AO12=AS12</f>
        <v>1</v>
      </c>
    </row>
    <row r="13" spans="1:46" ht="14.1" customHeight="1">
      <c r="A13" s="89">
        <v>7</v>
      </c>
      <c r="B13" s="99" t="s">
        <v>272</v>
      </c>
      <c r="C13" s="99" t="s">
        <v>271</v>
      </c>
      <c r="D13" s="103" t="s">
        <v>207</v>
      </c>
      <c r="E13" s="101"/>
      <c r="F13" s="101"/>
      <c r="G13" s="101"/>
      <c r="H13" s="101"/>
      <c r="I13" s="101"/>
      <c r="J13" s="101"/>
      <c r="K13" s="102"/>
      <c r="L13" s="102"/>
      <c r="M13" s="102"/>
      <c r="N13" s="102"/>
      <c r="O13" s="102"/>
      <c r="P13" s="93">
        <f t="shared" ref="P13:P14" si="7">SUM(E13:O13)</f>
        <v>0</v>
      </c>
      <c r="Q13" s="102"/>
      <c r="R13" s="102"/>
      <c r="S13" s="102"/>
      <c r="T13" s="102"/>
      <c r="U13" s="102"/>
      <c r="V13" s="102"/>
      <c r="W13" s="102"/>
      <c r="X13" s="102"/>
      <c r="Y13" s="102">
        <v>2</v>
      </c>
      <c r="Z13" s="102">
        <v>2</v>
      </c>
      <c r="AA13" s="102">
        <v>2</v>
      </c>
      <c r="AB13" s="93">
        <f t="shared" ref="AB13:AB14" si="8">SUM(Q13:AA13)</f>
        <v>6</v>
      </c>
      <c r="AC13" s="224"/>
      <c r="AD13" s="224"/>
      <c r="AE13" s="224"/>
      <c r="AF13" s="224"/>
      <c r="AG13" s="224"/>
      <c r="AH13" s="223"/>
      <c r="AI13" s="223"/>
      <c r="AJ13" s="223"/>
      <c r="AK13" s="223"/>
      <c r="AL13" s="223"/>
      <c r="AM13" s="223"/>
      <c r="AN13" s="93">
        <f t="shared" ref="AN13:AN14" si="9">SUM(AC13:AM13)</f>
        <v>0</v>
      </c>
      <c r="AO13" s="93">
        <f t="shared" ref="AO13:AO14" si="10">AN13+AB13+P13</f>
        <v>6</v>
      </c>
      <c r="AP13" s="104"/>
      <c r="AQ13" s="104"/>
      <c r="AR13" s="95">
        <f t="shared" ref="AR13:AR14" si="11">SUM(AO13:AQ13)</f>
        <v>6</v>
      </c>
      <c r="AS13">
        <f t="shared" ref="AS13:AS14" si="12">AO13</f>
        <v>6</v>
      </c>
      <c r="AT13" t="b">
        <f t="shared" ref="AT13:AT14" si="13">AO13=AS13</f>
        <v>1</v>
      </c>
    </row>
    <row r="14" spans="1:46" ht="14.1" customHeight="1">
      <c r="A14" s="89">
        <v>8</v>
      </c>
      <c r="B14" s="93" t="s">
        <v>4</v>
      </c>
      <c r="C14" s="93" t="s">
        <v>5</v>
      </c>
      <c r="D14" s="88" t="s">
        <v>208</v>
      </c>
      <c r="E14" s="96"/>
      <c r="F14" s="96"/>
      <c r="G14" s="96"/>
      <c r="H14" s="96"/>
      <c r="I14" s="96"/>
      <c r="J14" s="96"/>
      <c r="K14" s="98"/>
      <c r="L14" s="96"/>
      <c r="M14" s="96"/>
      <c r="N14" s="98"/>
      <c r="O14" s="98"/>
      <c r="P14" s="93">
        <f t="shared" si="7"/>
        <v>0</v>
      </c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>
        <v>2</v>
      </c>
      <c r="AB14" s="93">
        <f t="shared" si="8"/>
        <v>2</v>
      </c>
      <c r="AC14" s="98">
        <v>2</v>
      </c>
      <c r="AD14" s="98">
        <v>2</v>
      </c>
      <c r="AE14" s="91">
        <v>2</v>
      </c>
      <c r="AF14" s="98">
        <v>2</v>
      </c>
      <c r="AG14" s="98">
        <v>2</v>
      </c>
      <c r="AH14" s="98">
        <v>2</v>
      </c>
      <c r="AI14" s="98">
        <v>2</v>
      </c>
      <c r="AJ14" s="98">
        <v>2</v>
      </c>
      <c r="AK14" s="98">
        <v>2</v>
      </c>
      <c r="AL14" s="98">
        <v>2</v>
      </c>
      <c r="AM14" s="98">
        <v>2</v>
      </c>
      <c r="AN14" s="93">
        <f t="shared" si="9"/>
        <v>22</v>
      </c>
      <c r="AO14" s="93">
        <f t="shared" si="10"/>
        <v>24</v>
      </c>
      <c r="AP14" s="93"/>
      <c r="AQ14" s="93"/>
      <c r="AR14" s="95">
        <f t="shared" si="11"/>
        <v>24</v>
      </c>
      <c r="AS14">
        <f t="shared" si="12"/>
        <v>24</v>
      </c>
      <c r="AT14" t="b">
        <f t="shared" si="13"/>
        <v>1</v>
      </c>
    </row>
    <row r="15" spans="1:46" ht="14.1" customHeight="1">
      <c r="A15" s="89">
        <v>9</v>
      </c>
      <c r="B15" s="93" t="s">
        <v>272</v>
      </c>
      <c r="C15" s="94" t="s">
        <v>271</v>
      </c>
      <c r="D15" s="85" t="s">
        <v>208</v>
      </c>
      <c r="E15" s="96">
        <v>2</v>
      </c>
      <c r="F15" s="96">
        <v>2</v>
      </c>
      <c r="G15" s="96">
        <v>2</v>
      </c>
      <c r="H15" s="96">
        <v>2</v>
      </c>
      <c r="I15" s="96">
        <v>2</v>
      </c>
      <c r="J15" s="96">
        <v>2</v>
      </c>
      <c r="K15" s="96">
        <v>2</v>
      </c>
      <c r="L15" s="96">
        <v>2</v>
      </c>
      <c r="M15" s="96">
        <v>2</v>
      </c>
      <c r="N15" s="96"/>
      <c r="O15" s="96"/>
      <c r="P15" s="93">
        <f t="shared" si="2"/>
        <v>18</v>
      </c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93">
        <f t="shared" si="3"/>
        <v>0</v>
      </c>
      <c r="AC15" s="96"/>
      <c r="AD15" s="96"/>
      <c r="AE15" s="96"/>
      <c r="AF15" s="96"/>
      <c r="AG15" s="96"/>
      <c r="AH15" s="96"/>
      <c r="AI15" s="96"/>
      <c r="AJ15" s="96"/>
      <c r="AK15" s="98"/>
      <c r="AL15" s="98"/>
      <c r="AM15" s="98"/>
      <c r="AN15" s="93">
        <f t="shared" si="4"/>
        <v>0</v>
      </c>
      <c r="AO15" s="93">
        <f t="shared" si="5"/>
        <v>18</v>
      </c>
      <c r="AP15" s="93"/>
      <c r="AQ15" s="93"/>
      <c r="AR15" s="95">
        <f t="shared" si="0"/>
        <v>18</v>
      </c>
      <c r="AS15">
        <f t="shared" si="6"/>
        <v>18</v>
      </c>
      <c r="AT15" t="b">
        <f t="shared" si="1"/>
        <v>1</v>
      </c>
    </row>
    <row r="16" spans="1:46" ht="14.1" customHeight="1">
      <c r="A16" s="89">
        <v>10</v>
      </c>
      <c r="B16" s="93" t="s">
        <v>99</v>
      </c>
      <c r="C16" s="93" t="s">
        <v>3</v>
      </c>
      <c r="D16" s="85" t="s">
        <v>208</v>
      </c>
      <c r="E16" s="96"/>
      <c r="F16" s="96"/>
      <c r="G16" s="96"/>
      <c r="H16" s="96"/>
      <c r="I16" s="96"/>
      <c r="J16" s="96"/>
      <c r="K16" s="96"/>
      <c r="L16" s="96"/>
      <c r="M16" s="96"/>
      <c r="N16" s="96">
        <v>2</v>
      </c>
      <c r="O16" s="96">
        <v>2</v>
      </c>
      <c r="P16" s="93">
        <f t="shared" si="2"/>
        <v>4</v>
      </c>
      <c r="Q16" s="223">
        <v>2</v>
      </c>
      <c r="R16" s="223">
        <v>2</v>
      </c>
      <c r="S16" s="223">
        <v>2</v>
      </c>
      <c r="T16" s="223">
        <v>2</v>
      </c>
      <c r="U16" s="223">
        <v>2</v>
      </c>
      <c r="V16" s="223">
        <v>2</v>
      </c>
      <c r="W16" s="223">
        <v>2</v>
      </c>
      <c r="X16" s="223">
        <v>2</v>
      </c>
      <c r="Y16" s="223">
        <v>2</v>
      </c>
      <c r="Z16" s="223">
        <v>2</v>
      </c>
      <c r="AA16" s="223"/>
      <c r="AB16" s="93">
        <f t="shared" si="3"/>
        <v>20</v>
      </c>
      <c r="AC16" s="96"/>
      <c r="AD16" s="96"/>
      <c r="AE16" s="96"/>
      <c r="AF16" s="96"/>
      <c r="AG16" s="96"/>
      <c r="AH16" s="96"/>
      <c r="AI16" s="96"/>
      <c r="AJ16" s="96"/>
      <c r="AK16" s="98"/>
      <c r="AL16" s="98"/>
      <c r="AM16" s="98"/>
      <c r="AN16" s="93">
        <f t="shared" si="4"/>
        <v>0</v>
      </c>
      <c r="AO16" s="93">
        <f t="shared" si="5"/>
        <v>24</v>
      </c>
      <c r="AP16" s="93"/>
      <c r="AQ16" s="93"/>
      <c r="AR16" s="95">
        <f t="shared" si="0"/>
        <v>24</v>
      </c>
      <c r="AS16">
        <f t="shared" si="6"/>
        <v>24</v>
      </c>
      <c r="AT16" t="b">
        <f t="shared" si="1"/>
        <v>1</v>
      </c>
    </row>
    <row r="17" spans="1:47" ht="14.1" customHeight="1">
      <c r="A17" s="89">
        <v>11</v>
      </c>
      <c r="B17" s="99" t="s">
        <v>7</v>
      </c>
      <c r="C17" s="99" t="s">
        <v>237</v>
      </c>
      <c r="D17" s="100" t="s">
        <v>209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93">
        <f t="shared" si="2"/>
        <v>0</v>
      </c>
      <c r="Q17" s="101">
        <v>2</v>
      </c>
      <c r="R17" s="101">
        <v>2</v>
      </c>
      <c r="S17" s="101">
        <v>2</v>
      </c>
      <c r="T17" s="101">
        <v>2</v>
      </c>
      <c r="U17" s="101">
        <v>2</v>
      </c>
      <c r="V17" s="101">
        <v>2</v>
      </c>
      <c r="W17" s="101">
        <v>2</v>
      </c>
      <c r="X17" s="101">
        <v>2</v>
      </c>
      <c r="Y17" s="101">
        <v>2</v>
      </c>
      <c r="Z17" s="101">
        <v>2</v>
      </c>
      <c r="AA17" s="101">
        <v>2</v>
      </c>
      <c r="AB17" s="93">
        <f t="shared" si="3"/>
        <v>22</v>
      </c>
      <c r="AC17" s="101">
        <v>2</v>
      </c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93">
        <f t="shared" si="4"/>
        <v>2</v>
      </c>
      <c r="AO17" s="93">
        <f t="shared" si="5"/>
        <v>24</v>
      </c>
      <c r="AP17" s="99"/>
      <c r="AQ17" s="99"/>
      <c r="AR17" s="95">
        <f t="shared" si="0"/>
        <v>24</v>
      </c>
      <c r="AS17">
        <f t="shared" si="6"/>
        <v>24</v>
      </c>
      <c r="AT17" t="b">
        <f t="shared" si="1"/>
        <v>1</v>
      </c>
    </row>
    <row r="18" spans="1:47" ht="14.1" customHeight="1">
      <c r="A18" s="89">
        <v>12</v>
      </c>
      <c r="B18" s="99" t="s">
        <v>8</v>
      </c>
      <c r="C18" s="99" t="s">
        <v>50</v>
      </c>
      <c r="D18" s="100" t="s">
        <v>209</v>
      </c>
      <c r="E18" s="101">
        <v>2</v>
      </c>
      <c r="F18" s="101">
        <v>2</v>
      </c>
      <c r="G18" s="97">
        <v>2</v>
      </c>
      <c r="H18" s="101"/>
      <c r="I18" s="101"/>
      <c r="J18" s="101"/>
      <c r="K18" s="101"/>
      <c r="L18" s="101"/>
      <c r="M18" s="101"/>
      <c r="N18" s="101"/>
      <c r="O18" s="101"/>
      <c r="P18" s="93">
        <f t="shared" si="2"/>
        <v>6</v>
      </c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93">
        <f t="shared" si="3"/>
        <v>0</v>
      </c>
      <c r="AC18" s="101"/>
      <c r="AD18" s="101">
        <v>2</v>
      </c>
      <c r="AE18" s="101">
        <v>2</v>
      </c>
      <c r="AF18" s="101">
        <v>2</v>
      </c>
      <c r="AG18" s="101">
        <v>2</v>
      </c>
      <c r="AH18" s="101">
        <v>2</v>
      </c>
      <c r="AI18" s="101">
        <v>2</v>
      </c>
      <c r="AJ18" s="101">
        <v>2</v>
      </c>
      <c r="AK18" s="101"/>
      <c r="AL18" s="101"/>
      <c r="AM18" s="101"/>
      <c r="AN18" s="93">
        <f t="shared" si="4"/>
        <v>14</v>
      </c>
      <c r="AO18" s="93">
        <f t="shared" si="5"/>
        <v>20</v>
      </c>
      <c r="AP18" s="99"/>
      <c r="AQ18" s="99">
        <v>6</v>
      </c>
      <c r="AR18" s="95">
        <f t="shared" si="0"/>
        <v>26</v>
      </c>
      <c r="AS18">
        <f t="shared" si="6"/>
        <v>20</v>
      </c>
      <c r="AT18" t="b">
        <f t="shared" si="1"/>
        <v>1</v>
      </c>
    </row>
    <row r="19" spans="1:47" ht="14.1" customHeight="1">
      <c r="A19" s="89">
        <v>13</v>
      </c>
      <c r="B19" s="99" t="s">
        <v>6</v>
      </c>
      <c r="C19" s="99" t="s">
        <v>9</v>
      </c>
      <c r="D19" s="100" t="s">
        <v>209</v>
      </c>
      <c r="E19" s="101"/>
      <c r="F19" s="101"/>
      <c r="G19" s="101"/>
      <c r="H19" s="97">
        <v>2</v>
      </c>
      <c r="I19" s="101">
        <v>2</v>
      </c>
      <c r="J19" s="101">
        <v>2</v>
      </c>
      <c r="K19" s="101">
        <v>2</v>
      </c>
      <c r="L19" s="101">
        <v>2</v>
      </c>
      <c r="M19" s="101">
        <v>2</v>
      </c>
      <c r="N19" s="101">
        <v>2</v>
      </c>
      <c r="O19" s="101">
        <v>2</v>
      </c>
      <c r="P19" s="93">
        <f t="shared" si="2"/>
        <v>16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93">
        <f t="shared" si="3"/>
        <v>0</v>
      </c>
      <c r="AC19" s="101"/>
      <c r="AD19" s="101"/>
      <c r="AE19" s="101"/>
      <c r="AF19" s="101"/>
      <c r="AG19" s="101"/>
      <c r="AH19" s="101"/>
      <c r="AI19" s="101"/>
      <c r="AJ19" s="101"/>
      <c r="AK19" s="101">
        <v>2</v>
      </c>
      <c r="AL19" s="101">
        <v>2</v>
      </c>
      <c r="AM19" s="101">
        <v>2</v>
      </c>
      <c r="AN19" s="93">
        <f t="shared" si="4"/>
        <v>6</v>
      </c>
      <c r="AO19" s="93">
        <f t="shared" si="5"/>
        <v>22</v>
      </c>
      <c r="AP19" s="99"/>
      <c r="AQ19" s="99">
        <v>6</v>
      </c>
      <c r="AR19" s="95">
        <f t="shared" si="0"/>
        <v>28</v>
      </c>
      <c r="AS19">
        <f t="shared" si="6"/>
        <v>22</v>
      </c>
      <c r="AT19" t="b">
        <f t="shared" si="1"/>
        <v>1</v>
      </c>
    </row>
    <row r="20" spans="1:47" ht="14.1" customHeight="1">
      <c r="A20" s="89">
        <v>14</v>
      </c>
      <c r="B20" s="93" t="s">
        <v>10</v>
      </c>
      <c r="C20" s="93" t="s">
        <v>51</v>
      </c>
      <c r="D20" s="85" t="s">
        <v>210</v>
      </c>
      <c r="E20" s="96"/>
      <c r="F20" s="96"/>
      <c r="G20" s="96"/>
      <c r="H20" s="98"/>
      <c r="I20" s="98"/>
      <c r="J20" s="98"/>
      <c r="K20" s="98"/>
      <c r="L20" s="98"/>
      <c r="M20" s="98"/>
      <c r="N20" s="98"/>
      <c r="O20" s="96">
        <v>3</v>
      </c>
      <c r="P20" s="94">
        <f t="shared" si="2"/>
        <v>3</v>
      </c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4">
        <f t="shared" si="3"/>
        <v>0</v>
      </c>
      <c r="AC20" s="98"/>
      <c r="AD20" s="98"/>
      <c r="AE20" s="98"/>
      <c r="AF20" s="98"/>
      <c r="AG20" s="98"/>
      <c r="AH20" s="98"/>
      <c r="AI20" s="98"/>
      <c r="AJ20" s="98">
        <v>3</v>
      </c>
      <c r="AK20" s="98">
        <v>3</v>
      </c>
      <c r="AL20" s="98">
        <v>3</v>
      </c>
      <c r="AM20" s="98">
        <v>3</v>
      </c>
      <c r="AN20" s="93">
        <f t="shared" si="4"/>
        <v>12</v>
      </c>
      <c r="AO20" s="93">
        <f t="shared" si="5"/>
        <v>15</v>
      </c>
      <c r="AP20" s="93">
        <v>12</v>
      </c>
      <c r="AQ20" s="93"/>
      <c r="AR20" s="95">
        <f t="shared" si="0"/>
        <v>27</v>
      </c>
      <c r="AS20">
        <f t="shared" si="6"/>
        <v>15</v>
      </c>
      <c r="AT20" t="b">
        <f t="shared" si="1"/>
        <v>1</v>
      </c>
    </row>
    <row r="21" spans="1:47" ht="14.1" customHeight="1">
      <c r="A21" s="89">
        <v>15</v>
      </c>
      <c r="B21" s="93" t="s">
        <v>98</v>
      </c>
      <c r="C21" s="93" t="s">
        <v>11</v>
      </c>
      <c r="D21" s="85" t="s">
        <v>210</v>
      </c>
      <c r="E21" s="96"/>
      <c r="F21" s="96"/>
      <c r="G21" s="96"/>
      <c r="H21" s="98"/>
      <c r="I21" s="98"/>
      <c r="J21" s="98"/>
      <c r="K21" s="98"/>
      <c r="L21" s="98"/>
      <c r="M21" s="98"/>
      <c r="N21" s="98">
        <v>3</v>
      </c>
      <c r="O21" s="98"/>
      <c r="P21" s="94">
        <f t="shared" si="2"/>
        <v>3</v>
      </c>
      <c r="Q21" s="98"/>
      <c r="R21" s="98"/>
      <c r="S21" s="98"/>
      <c r="T21" s="98"/>
      <c r="U21" s="98"/>
      <c r="V21" s="98">
        <v>3</v>
      </c>
      <c r="W21" s="98">
        <v>3</v>
      </c>
      <c r="X21" s="97">
        <v>3</v>
      </c>
      <c r="Y21" s="98">
        <v>3</v>
      </c>
      <c r="Z21" s="98">
        <v>3</v>
      </c>
      <c r="AA21" s="98">
        <v>3</v>
      </c>
      <c r="AB21" s="94">
        <f t="shared" si="3"/>
        <v>18</v>
      </c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3">
        <f t="shared" si="4"/>
        <v>0</v>
      </c>
      <c r="AO21" s="93">
        <f t="shared" si="5"/>
        <v>21</v>
      </c>
      <c r="AP21" s="93"/>
      <c r="AQ21" s="93">
        <v>6</v>
      </c>
      <c r="AR21" s="95">
        <f t="shared" si="0"/>
        <v>27</v>
      </c>
      <c r="AS21">
        <f t="shared" si="6"/>
        <v>21</v>
      </c>
      <c r="AT21" t="b">
        <f t="shared" si="1"/>
        <v>1</v>
      </c>
    </row>
    <row r="22" spans="1:47" ht="14.1" customHeight="1">
      <c r="A22" s="89">
        <v>16</v>
      </c>
      <c r="B22" s="93" t="s">
        <v>241</v>
      </c>
      <c r="C22" s="93" t="s">
        <v>238</v>
      </c>
      <c r="D22" s="85" t="s">
        <v>210</v>
      </c>
      <c r="E22" s="96"/>
      <c r="F22" s="96"/>
      <c r="G22" s="96"/>
      <c r="H22" s="96"/>
      <c r="I22" s="96"/>
      <c r="J22" s="96"/>
      <c r="K22" s="96"/>
      <c r="L22" s="96"/>
      <c r="M22" s="98"/>
      <c r="N22" s="92"/>
      <c r="O22" s="98"/>
      <c r="P22" s="94">
        <f>SUM(E22:O22)</f>
        <v>0</v>
      </c>
      <c r="Q22" s="98">
        <v>3</v>
      </c>
      <c r="R22" s="98">
        <v>3</v>
      </c>
      <c r="S22" s="98">
        <v>3</v>
      </c>
      <c r="T22" s="98">
        <v>3</v>
      </c>
      <c r="U22" s="98">
        <v>3</v>
      </c>
      <c r="V22" s="98"/>
      <c r="W22" s="98"/>
      <c r="X22" s="98"/>
      <c r="Y22" s="98"/>
      <c r="Z22" s="98"/>
      <c r="AA22" s="98"/>
      <c r="AB22" s="94">
        <f t="shared" si="3"/>
        <v>15</v>
      </c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3">
        <f t="shared" si="4"/>
        <v>0</v>
      </c>
      <c r="AO22" s="93">
        <f t="shared" si="5"/>
        <v>15</v>
      </c>
      <c r="AP22" s="93"/>
      <c r="AQ22" s="93"/>
      <c r="AR22" s="95">
        <f t="shared" si="0"/>
        <v>15</v>
      </c>
      <c r="AS22">
        <f t="shared" si="6"/>
        <v>15</v>
      </c>
      <c r="AT22" t="b">
        <f t="shared" si="1"/>
        <v>1</v>
      </c>
    </row>
    <row r="23" spans="1:47" ht="14.1" customHeight="1">
      <c r="A23" s="89">
        <v>17</v>
      </c>
      <c r="B23" s="93" t="s">
        <v>103</v>
      </c>
      <c r="C23" s="93" t="s">
        <v>104</v>
      </c>
      <c r="D23" s="85" t="s">
        <v>210</v>
      </c>
      <c r="E23" s="96"/>
      <c r="F23" s="96"/>
      <c r="G23" s="96"/>
      <c r="H23" s="96"/>
      <c r="I23" s="96"/>
      <c r="J23" s="96"/>
      <c r="K23" s="96"/>
      <c r="L23" s="96"/>
      <c r="M23" s="96">
        <v>3</v>
      </c>
      <c r="N23" s="96"/>
      <c r="O23" s="96"/>
      <c r="P23" s="93">
        <f t="shared" si="2"/>
        <v>3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3">
        <f t="shared" si="3"/>
        <v>0</v>
      </c>
      <c r="AC23" s="96">
        <v>3</v>
      </c>
      <c r="AD23" s="96">
        <v>3</v>
      </c>
      <c r="AE23" s="96">
        <v>3</v>
      </c>
      <c r="AF23" s="96">
        <v>3</v>
      </c>
      <c r="AG23" s="96">
        <v>3</v>
      </c>
      <c r="AH23" s="96">
        <v>3</v>
      </c>
      <c r="AI23" s="96">
        <v>3</v>
      </c>
      <c r="AJ23" s="96"/>
      <c r="AK23" s="96"/>
      <c r="AL23" s="98"/>
      <c r="AM23" s="98"/>
      <c r="AN23" s="93">
        <f t="shared" si="4"/>
        <v>21</v>
      </c>
      <c r="AO23" s="93">
        <f t="shared" si="5"/>
        <v>24</v>
      </c>
      <c r="AP23" s="93"/>
      <c r="AQ23" s="93"/>
      <c r="AR23" s="95">
        <f t="shared" si="0"/>
        <v>24</v>
      </c>
      <c r="AS23">
        <f t="shared" si="6"/>
        <v>24</v>
      </c>
      <c r="AT23" t="b">
        <f t="shared" si="1"/>
        <v>1</v>
      </c>
    </row>
    <row r="24" spans="1:47" ht="14.1" customHeight="1">
      <c r="A24" s="89">
        <v>18</v>
      </c>
      <c r="B24" s="93" t="s">
        <v>299</v>
      </c>
      <c r="C24" s="178" t="s">
        <v>296</v>
      </c>
      <c r="D24" s="85" t="s">
        <v>210</v>
      </c>
      <c r="E24" s="96">
        <v>3</v>
      </c>
      <c r="F24" s="96"/>
      <c r="G24" s="96"/>
      <c r="H24" s="96"/>
      <c r="I24" s="96">
        <v>3</v>
      </c>
      <c r="J24" s="96"/>
      <c r="K24" s="96"/>
      <c r="L24" s="96"/>
      <c r="M24" s="96"/>
      <c r="N24" s="96"/>
      <c r="O24" s="96"/>
      <c r="P24" s="93">
        <f t="shared" si="2"/>
        <v>6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3">
        <f t="shared" si="3"/>
        <v>0</v>
      </c>
      <c r="AC24" s="96"/>
      <c r="AD24" s="96"/>
      <c r="AE24" s="96"/>
      <c r="AF24" s="96"/>
      <c r="AG24" s="96"/>
      <c r="AH24" s="96"/>
      <c r="AI24" s="96"/>
      <c r="AJ24" s="96"/>
      <c r="AK24" s="96"/>
      <c r="AL24" s="98"/>
      <c r="AM24" s="98"/>
      <c r="AN24" s="93">
        <f t="shared" si="4"/>
        <v>0</v>
      </c>
      <c r="AO24" s="93">
        <f t="shared" si="5"/>
        <v>6</v>
      </c>
      <c r="AP24" s="93"/>
      <c r="AQ24" s="93"/>
      <c r="AR24" s="95">
        <f t="shared" ref="AR24:AR26" si="14">SUM(AO24:AQ24)</f>
        <v>6</v>
      </c>
      <c r="AS24">
        <f t="shared" si="6"/>
        <v>6</v>
      </c>
      <c r="AT24" t="b">
        <f t="shared" si="1"/>
        <v>1</v>
      </c>
    </row>
    <row r="25" spans="1:47" ht="14.1" customHeight="1">
      <c r="A25" s="89">
        <v>19</v>
      </c>
      <c r="B25" s="93" t="s">
        <v>301</v>
      </c>
      <c r="C25" s="178" t="s">
        <v>297</v>
      </c>
      <c r="D25" s="85" t="s">
        <v>210</v>
      </c>
      <c r="E25" s="96"/>
      <c r="F25" s="96">
        <v>3</v>
      </c>
      <c r="G25" s="96">
        <v>3</v>
      </c>
      <c r="H25" s="96">
        <v>3</v>
      </c>
      <c r="I25" s="96"/>
      <c r="J25" s="96"/>
      <c r="K25" s="96"/>
      <c r="L25" s="96"/>
      <c r="M25" s="96"/>
      <c r="N25" s="96"/>
      <c r="O25" s="96"/>
      <c r="P25" s="93">
        <f t="shared" si="2"/>
        <v>9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3">
        <f t="shared" si="3"/>
        <v>0</v>
      </c>
      <c r="AC25" s="96"/>
      <c r="AD25" s="96"/>
      <c r="AE25" s="96"/>
      <c r="AF25" s="96"/>
      <c r="AG25" s="96"/>
      <c r="AH25" s="96"/>
      <c r="AI25" s="96"/>
      <c r="AJ25" s="96"/>
      <c r="AK25" s="96"/>
      <c r="AL25" s="98"/>
      <c r="AM25" s="98"/>
      <c r="AN25" s="93">
        <f t="shared" si="4"/>
        <v>0</v>
      </c>
      <c r="AO25" s="93">
        <f t="shared" si="5"/>
        <v>9</v>
      </c>
      <c r="AP25" s="93"/>
      <c r="AQ25" s="93"/>
      <c r="AR25" s="95">
        <f t="shared" si="14"/>
        <v>9</v>
      </c>
      <c r="AS25">
        <f t="shared" si="6"/>
        <v>9</v>
      </c>
      <c r="AT25" t="b">
        <f t="shared" si="1"/>
        <v>1</v>
      </c>
    </row>
    <row r="26" spans="1:47" ht="14.1" customHeight="1">
      <c r="A26" s="89">
        <v>20</v>
      </c>
      <c r="B26" s="93" t="s">
        <v>300</v>
      </c>
      <c r="C26" s="178" t="s">
        <v>298</v>
      </c>
      <c r="D26" s="85" t="s">
        <v>210</v>
      </c>
      <c r="E26" s="96"/>
      <c r="F26" s="96"/>
      <c r="G26" s="96"/>
      <c r="H26" s="96"/>
      <c r="I26" s="96"/>
      <c r="J26" s="96">
        <v>3</v>
      </c>
      <c r="K26" s="96">
        <v>3</v>
      </c>
      <c r="L26" s="96">
        <v>3</v>
      </c>
      <c r="M26" s="96"/>
      <c r="N26" s="96"/>
      <c r="O26" s="96"/>
      <c r="P26" s="93">
        <f t="shared" si="2"/>
        <v>9</v>
      </c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3">
        <f t="shared" si="3"/>
        <v>0</v>
      </c>
      <c r="AC26" s="96"/>
      <c r="AD26" s="96"/>
      <c r="AE26" s="96"/>
      <c r="AF26" s="96"/>
      <c r="AG26" s="96"/>
      <c r="AH26" s="96"/>
      <c r="AI26" s="96"/>
      <c r="AJ26" s="96"/>
      <c r="AK26" s="96"/>
      <c r="AL26" s="98"/>
      <c r="AM26" s="98"/>
      <c r="AN26" s="93">
        <f t="shared" si="4"/>
        <v>0</v>
      </c>
      <c r="AO26" s="93">
        <f t="shared" si="5"/>
        <v>9</v>
      </c>
      <c r="AP26" s="93"/>
      <c r="AQ26" s="93"/>
      <c r="AR26" s="95">
        <f t="shared" si="14"/>
        <v>9</v>
      </c>
      <c r="AS26">
        <f t="shared" si="6"/>
        <v>9</v>
      </c>
      <c r="AT26" t="b">
        <f t="shared" si="1"/>
        <v>1</v>
      </c>
    </row>
    <row r="27" spans="1:47" ht="14.1" customHeight="1">
      <c r="A27" s="89">
        <v>21</v>
      </c>
      <c r="B27" s="99" t="s">
        <v>40</v>
      </c>
      <c r="C27" s="99" t="s">
        <v>126</v>
      </c>
      <c r="D27" s="154" t="s">
        <v>279</v>
      </c>
      <c r="E27" s="223"/>
      <c r="F27" s="223"/>
      <c r="G27" s="223"/>
      <c r="H27" s="223"/>
      <c r="I27" s="223"/>
      <c r="J27" s="223">
        <v>2</v>
      </c>
      <c r="K27" s="223">
        <v>2</v>
      </c>
      <c r="L27" s="223">
        <v>2</v>
      </c>
      <c r="M27" s="97">
        <v>2</v>
      </c>
      <c r="N27" s="223">
        <v>2</v>
      </c>
      <c r="O27" s="223">
        <v>2</v>
      </c>
      <c r="P27" s="93">
        <f>SUM(E27:O27)</f>
        <v>12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93">
        <f>SUM(Q27:AA27)</f>
        <v>0</v>
      </c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93">
        <f>SUM(AC27:AM27)</f>
        <v>0</v>
      </c>
      <c r="AO27" s="93">
        <f>AN27+AB27+P27</f>
        <v>12</v>
      </c>
      <c r="AP27" s="99"/>
      <c r="AQ27" s="99">
        <v>6</v>
      </c>
      <c r="AR27" s="229">
        <f>SUM(AO27:AQ27)</f>
        <v>18</v>
      </c>
      <c r="AS27">
        <f>AO27</f>
        <v>12</v>
      </c>
      <c r="AT27" t="b">
        <f>AO27=AS27</f>
        <v>1</v>
      </c>
      <c r="AU27" t="s">
        <v>305</v>
      </c>
    </row>
    <row r="28" spans="1:47" ht="14.1" customHeight="1">
      <c r="A28" s="89">
        <v>22</v>
      </c>
      <c r="B28" s="99" t="s">
        <v>41</v>
      </c>
      <c r="C28" s="99" t="s">
        <v>71</v>
      </c>
      <c r="D28" s="154" t="s">
        <v>279</v>
      </c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93">
        <f>SUM(E28:O28)</f>
        <v>0</v>
      </c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93">
        <f>SUM(Q28:AA28)</f>
        <v>0</v>
      </c>
      <c r="AC28" s="101"/>
      <c r="AD28" s="101"/>
      <c r="AE28" s="101">
        <v>2</v>
      </c>
      <c r="AF28" s="101">
        <v>2</v>
      </c>
      <c r="AG28" s="101">
        <v>2</v>
      </c>
      <c r="AH28" s="101">
        <v>2</v>
      </c>
      <c r="AI28" s="101">
        <v>2</v>
      </c>
      <c r="AJ28" s="101">
        <v>2</v>
      </c>
      <c r="AK28" s="101">
        <v>2</v>
      </c>
      <c r="AL28" s="101">
        <v>2</v>
      </c>
      <c r="AM28" s="101">
        <v>2</v>
      </c>
      <c r="AN28" s="93">
        <f>SUM(AC28:AM28)</f>
        <v>18</v>
      </c>
      <c r="AO28" s="93">
        <f>AN28+AB28+P28</f>
        <v>18</v>
      </c>
      <c r="AP28" s="99"/>
      <c r="AQ28" s="228">
        <v>6</v>
      </c>
      <c r="AR28" s="95">
        <f>SUM(AO28:AQ28)</f>
        <v>24</v>
      </c>
      <c r="AS28">
        <f>AO28</f>
        <v>18</v>
      </c>
      <c r="AT28" t="b">
        <f>AO28=AS28</f>
        <v>1</v>
      </c>
    </row>
    <row r="29" spans="1:47" ht="14.1" customHeight="1">
      <c r="A29" s="89">
        <v>23</v>
      </c>
      <c r="B29" s="106" t="s">
        <v>109</v>
      </c>
      <c r="C29" s="106" t="s">
        <v>110</v>
      </c>
      <c r="D29" s="154" t="s">
        <v>279</v>
      </c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93">
        <f>SUM(E29:O29)</f>
        <v>0</v>
      </c>
      <c r="Q29" s="101">
        <v>2</v>
      </c>
      <c r="R29" s="101">
        <v>2</v>
      </c>
      <c r="S29" s="101">
        <v>2</v>
      </c>
      <c r="T29" s="101">
        <v>2</v>
      </c>
      <c r="U29" s="101">
        <v>2</v>
      </c>
      <c r="V29" s="101"/>
      <c r="W29" s="101"/>
      <c r="X29" s="101"/>
      <c r="Y29" s="101"/>
      <c r="Z29" s="101">
        <v>2</v>
      </c>
      <c r="AA29" s="97">
        <v>2</v>
      </c>
      <c r="AB29" s="93">
        <f>SUM(Q29:AA29)</f>
        <v>14</v>
      </c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93">
        <f>SUM(AC29:AM29)</f>
        <v>0</v>
      </c>
      <c r="AO29" s="93">
        <f>AN29+AB29+P29</f>
        <v>14</v>
      </c>
      <c r="AP29" s="99"/>
      <c r="AQ29" s="99">
        <v>6</v>
      </c>
      <c r="AR29" s="229">
        <f>SUM(AO29:AQ29)</f>
        <v>20</v>
      </c>
      <c r="AS29">
        <f>AO29</f>
        <v>14</v>
      </c>
      <c r="AT29" t="b">
        <f>AO29=AS29</f>
        <v>1</v>
      </c>
      <c r="AU29" t="s">
        <v>306</v>
      </c>
    </row>
    <row r="30" spans="1:47" ht="14.1" customHeight="1">
      <c r="A30" s="89">
        <v>24</v>
      </c>
      <c r="B30" s="106" t="s">
        <v>119</v>
      </c>
      <c r="C30" s="106" t="s">
        <v>120</v>
      </c>
      <c r="D30" s="154" t="s">
        <v>279</v>
      </c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93">
        <f>SUM(E30:O30)</f>
        <v>0</v>
      </c>
      <c r="Q30" s="101"/>
      <c r="R30" s="101"/>
      <c r="S30" s="101"/>
      <c r="T30" s="101"/>
      <c r="U30" s="101"/>
      <c r="V30" s="101">
        <v>2</v>
      </c>
      <c r="W30" s="101">
        <v>2</v>
      </c>
      <c r="X30" s="101">
        <v>2</v>
      </c>
      <c r="Y30" s="97">
        <v>2</v>
      </c>
      <c r="Z30" s="101"/>
      <c r="AA30" s="101"/>
      <c r="AB30" s="93">
        <f>SUM(Q30:AA30)</f>
        <v>8</v>
      </c>
      <c r="AC30" s="101">
        <v>2</v>
      </c>
      <c r="AD30" s="101">
        <v>2</v>
      </c>
      <c r="AE30" s="101"/>
      <c r="AF30" s="101"/>
      <c r="AG30" s="101"/>
      <c r="AH30" s="101"/>
      <c r="AI30" s="101"/>
      <c r="AJ30" s="101"/>
      <c r="AK30" s="101"/>
      <c r="AL30" s="101"/>
      <c r="AM30" s="101"/>
      <c r="AN30" s="93">
        <f>SUM(AC30:AM30)</f>
        <v>4</v>
      </c>
      <c r="AO30" s="93">
        <f>AN30+AB30+P30</f>
        <v>12</v>
      </c>
      <c r="AP30" s="99"/>
      <c r="AQ30" s="99">
        <v>6</v>
      </c>
      <c r="AR30" s="192">
        <f>SUM(AO30:AQ30)</f>
        <v>18</v>
      </c>
      <c r="AS30">
        <f>AO30</f>
        <v>12</v>
      </c>
      <c r="AT30" t="b">
        <f>AO30=AS30</f>
        <v>1</v>
      </c>
      <c r="AU30" t="s">
        <v>305</v>
      </c>
    </row>
    <row r="31" spans="1:47" ht="14.1" customHeight="1">
      <c r="A31" s="89">
        <v>25</v>
      </c>
      <c r="B31" s="106" t="s">
        <v>234</v>
      </c>
      <c r="C31" s="106" t="s">
        <v>235</v>
      </c>
      <c r="D31" s="154" t="s">
        <v>279</v>
      </c>
      <c r="E31" s="223">
        <v>2</v>
      </c>
      <c r="F31" s="223">
        <v>2</v>
      </c>
      <c r="G31" s="223">
        <v>2</v>
      </c>
      <c r="H31" s="223">
        <v>2</v>
      </c>
      <c r="I31" s="223">
        <v>2</v>
      </c>
      <c r="J31" s="223"/>
      <c r="K31" s="223"/>
      <c r="L31" s="223"/>
      <c r="M31" s="223"/>
      <c r="N31" s="223"/>
      <c r="O31" s="223"/>
      <c r="P31" s="93">
        <f>SUM(E31:O31)</f>
        <v>10</v>
      </c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93">
        <f>SUM(Q31:AA31)</f>
        <v>0</v>
      </c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93">
        <f>SUM(AC31:AM31)</f>
        <v>0</v>
      </c>
      <c r="AO31" s="93">
        <f>AN31+AB31+P31</f>
        <v>10</v>
      </c>
      <c r="AP31" s="99"/>
      <c r="AQ31" s="99"/>
      <c r="AR31" s="192">
        <f>SUM(AO31:AQ31)</f>
        <v>10</v>
      </c>
      <c r="AS31">
        <f>AO31</f>
        <v>10</v>
      </c>
      <c r="AT31" t="b">
        <f>AO31=AS31</f>
        <v>1</v>
      </c>
      <c r="AU31" t="s">
        <v>305</v>
      </c>
    </row>
    <row r="32" spans="1:47" ht="14.1" customHeight="1">
      <c r="A32" s="182">
        <v>26</v>
      </c>
      <c r="B32" s="94" t="s">
        <v>12</v>
      </c>
      <c r="C32" s="94" t="s">
        <v>52</v>
      </c>
      <c r="D32" s="91" t="s">
        <v>211</v>
      </c>
      <c r="E32" s="223"/>
      <c r="F32" s="223"/>
      <c r="G32" s="223"/>
      <c r="H32" s="223"/>
      <c r="I32" s="223"/>
      <c r="J32" s="223"/>
      <c r="K32" s="181">
        <v>5</v>
      </c>
      <c r="L32" s="223"/>
      <c r="M32" s="223"/>
      <c r="N32" s="223"/>
      <c r="O32" s="223"/>
      <c r="P32" s="93">
        <f t="shared" si="2"/>
        <v>5</v>
      </c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3">
        <f t="shared" si="3"/>
        <v>0</v>
      </c>
      <c r="AC32" s="98"/>
      <c r="AD32" s="98"/>
      <c r="AE32" s="98"/>
      <c r="AF32" s="98"/>
      <c r="AG32" s="98"/>
      <c r="AH32" s="98"/>
      <c r="AI32" s="98"/>
      <c r="AJ32" s="98">
        <v>5</v>
      </c>
      <c r="AK32" s="98">
        <v>5</v>
      </c>
      <c r="AL32" s="98">
        <v>5</v>
      </c>
      <c r="AM32" s="97">
        <v>5</v>
      </c>
      <c r="AN32" s="93">
        <f t="shared" si="4"/>
        <v>20</v>
      </c>
      <c r="AO32" s="93">
        <f t="shared" si="5"/>
        <v>25</v>
      </c>
      <c r="AP32" s="94"/>
      <c r="AQ32" s="94">
        <v>6</v>
      </c>
      <c r="AR32" s="95">
        <f t="shared" si="0"/>
        <v>31</v>
      </c>
      <c r="AS32">
        <f t="shared" si="6"/>
        <v>25</v>
      </c>
      <c r="AT32" t="b">
        <f t="shared" si="1"/>
        <v>1</v>
      </c>
    </row>
    <row r="33" spans="1:46" ht="14.1" customHeight="1">
      <c r="A33" s="182">
        <v>27</v>
      </c>
      <c r="B33" s="94" t="s">
        <v>13</v>
      </c>
      <c r="C33" s="94" t="s">
        <v>53</v>
      </c>
      <c r="D33" s="91" t="s">
        <v>211</v>
      </c>
      <c r="E33" s="223"/>
      <c r="F33" s="223"/>
      <c r="G33" s="223"/>
      <c r="H33" s="223"/>
      <c r="I33" s="223">
        <v>5</v>
      </c>
      <c r="J33" s="97">
        <v>5</v>
      </c>
      <c r="K33" s="223"/>
      <c r="L33" s="223"/>
      <c r="M33" s="223"/>
      <c r="N33" s="223"/>
      <c r="O33" s="223"/>
      <c r="P33" s="93">
        <f t="shared" si="2"/>
        <v>10</v>
      </c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3">
        <f t="shared" si="3"/>
        <v>0</v>
      </c>
      <c r="AC33" s="98"/>
      <c r="AD33" s="98"/>
      <c r="AE33" s="98"/>
      <c r="AF33" s="98"/>
      <c r="AG33" s="98"/>
      <c r="AH33" s="98">
        <v>5</v>
      </c>
      <c r="AI33" s="98">
        <v>5</v>
      </c>
      <c r="AJ33" s="98"/>
      <c r="AK33" s="98"/>
      <c r="AL33" s="98"/>
      <c r="AM33" s="98"/>
      <c r="AN33" s="93">
        <f t="shared" si="4"/>
        <v>10</v>
      </c>
      <c r="AO33" s="93">
        <f t="shared" si="5"/>
        <v>20</v>
      </c>
      <c r="AP33" s="94"/>
      <c r="AQ33" s="94">
        <v>6</v>
      </c>
      <c r="AR33" s="95">
        <f t="shared" si="0"/>
        <v>26</v>
      </c>
      <c r="AS33">
        <f t="shared" si="6"/>
        <v>20</v>
      </c>
      <c r="AT33" t="b">
        <f t="shared" si="1"/>
        <v>1</v>
      </c>
    </row>
    <row r="34" spans="1:46" ht="14.1" customHeight="1">
      <c r="A34" s="182">
        <v>28</v>
      </c>
      <c r="B34" s="94" t="s">
        <v>14</v>
      </c>
      <c r="C34" s="94" t="s">
        <v>125</v>
      </c>
      <c r="D34" s="91" t="s">
        <v>211</v>
      </c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93">
        <f t="shared" si="2"/>
        <v>0</v>
      </c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3">
        <f t="shared" si="3"/>
        <v>0</v>
      </c>
      <c r="AC34" s="98">
        <v>5</v>
      </c>
      <c r="AD34" s="98">
        <v>5</v>
      </c>
      <c r="AE34" s="98">
        <v>5</v>
      </c>
      <c r="AF34" s="98"/>
      <c r="AG34" s="98"/>
      <c r="AH34" s="98"/>
      <c r="AI34" s="98"/>
      <c r="AJ34" s="98"/>
      <c r="AK34" s="98"/>
      <c r="AL34" s="98"/>
      <c r="AM34" s="98"/>
      <c r="AN34" s="93">
        <f t="shared" si="4"/>
        <v>15</v>
      </c>
      <c r="AO34" s="93">
        <f t="shared" si="5"/>
        <v>15</v>
      </c>
      <c r="AP34" s="94">
        <v>12</v>
      </c>
      <c r="AQ34" s="94"/>
      <c r="AR34" s="95">
        <f t="shared" si="0"/>
        <v>27</v>
      </c>
      <c r="AS34">
        <f t="shared" si="6"/>
        <v>15</v>
      </c>
      <c r="AT34" t="b">
        <f t="shared" si="1"/>
        <v>1</v>
      </c>
    </row>
    <row r="35" spans="1:46" ht="14.1" customHeight="1">
      <c r="A35" s="182">
        <v>29</v>
      </c>
      <c r="B35" s="94" t="s">
        <v>15</v>
      </c>
      <c r="C35" s="94" t="s">
        <v>282</v>
      </c>
      <c r="D35" s="91" t="s">
        <v>211</v>
      </c>
      <c r="E35" s="97">
        <v>5</v>
      </c>
      <c r="F35" s="223">
        <v>5</v>
      </c>
      <c r="G35" s="223">
        <v>5</v>
      </c>
      <c r="H35" s="223">
        <v>5</v>
      </c>
      <c r="I35" s="223"/>
      <c r="J35" s="223"/>
      <c r="K35" s="223"/>
      <c r="L35" s="223"/>
      <c r="M35" s="223"/>
      <c r="N35" s="223"/>
      <c r="O35" s="223"/>
      <c r="P35" s="93">
        <f t="shared" si="2"/>
        <v>20</v>
      </c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3">
        <f t="shared" si="3"/>
        <v>0</v>
      </c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3">
        <f t="shared" si="4"/>
        <v>0</v>
      </c>
      <c r="AO35" s="93">
        <f t="shared" si="5"/>
        <v>20</v>
      </c>
      <c r="AP35" s="94"/>
      <c r="AQ35" s="94">
        <v>6</v>
      </c>
      <c r="AR35" s="95">
        <f t="shared" si="0"/>
        <v>26</v>
      </c>
      <c r="AS35">
        <f t="shared" si="6"/>
        <v>20</v>
      </c>
      <c r="AT35" t="b">
        <f t="shared" si="1"/>
        <v>1</v>
      </c>
    </row>
    <row r="36" spans="1:46" ht="14.1" customHeight="1">
      <c r="A36" s="182">
        <v>30</v>
      </c>
      <c r="B36" s="94" t="s">
        <v>16</v>
      </c>
      <c r="C36" s="94" t="s">
        <v>212</v>
      </c>
      <c r="D36" s="91" t="s">
        <v>211</v>
      </c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93">
        <f t="shared" si="2"/>
        <v>0</v>
      </c>
      <c r="Q36" s="181">
        <v>5</v>
      </c>
      <c r="R36" s="98"/>
      <c r="S36" s="98">
        <v>5</v>
      </c>
      <c r="T36" s="193">
        <v>0</v>
      </c>
      <c r="U36" s="98"/>
      <c r="V36" s="98"/>
      <c r="W36" s="98"/>
      <c r="X36" s="98"/>
      <c r="Y36" s="98"/>
      <c r="Z36" s="98"/>
      <c r="AA36" s="98"/>
      <c r="AB36" s="93">
        <f t="shared" si="3"/>
        <v>10</v>
      </c>
      <c r="AC36" s="98"/>
      <c r="AD36" s="98"/>
      <c r="AE36" s="98"/>
      <c r="AF36" s="97">
        <v>5</v>
      </c>
      <c r="AG36" s="98">
        <v>5</v>
      </c>
      <c r="AH36" s="98"/>
      <c r="AI36" s="98"/>
      <c r="AJ36" s="98"/>
      <c r="AK36" s="98"/>
      <c r="AL36" s="98"/>
      <c r="AM36" s="98"/>
      <c r="AN36" s="93">
        <f t="shared" si="4"/>
        <v>10</v>
      </c>
      <c r="AO36" s="93">
        <f t="shared" si="5"/>
        <v>20</v>
      </c>
      <c r="AP36" s="94"/>
      <c r="AQ36" s="94">
        <v>6</v>
      </c>
      <c r="AR36" s="95">
        <f t="shared" si="0"/>
        <v>26</v>
      </c>
      <c r="AS36">
        <f t="shared" si="6"/>
        <v>20</v>
      </c>
      <c r="AT36" t="b">
        <f t="shared" si="1"/>
        <v>1</v>
      </c>
    </row>
    <row r="37" spans="1:46" ht="14.1" customHeight="1">
      <c r="A37" s="182">
        <v>31</v>
      </c>
      <c r="B37" s="94" t="s">
        <v>102</v>
      </c>
      <c r="C37" s="94" t="s">
        <v>213</v>
      </c>
      <c r="D37" s="91" t="s">
        <v>211</v>
      </c>
      <c r="E37" s="223"/>
      <c r="F37" s="223"/>
      <c r="G37" s="223"/>
      <c r="H37" s="223"/>
      <c r="I37" s="223"/>
      <c r="J37" s="223"/>
      <c r="K37" s="223"/>
      <c r="L37" s="181">
        <v>5</v>
      </c>
      <c r="M37" s="223">
        <v>5</v>
      </c>
      <c r="N37" s="97">
        <v>5</v>
      </c>
      <c r="O37" s="223">
        <v>5</v>
      </c>
      <c r="P37" s="93">
        <f t="shared" si="2"/>
        <v>20</v>
      </c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3">
        <f t="shared" si="3"/>
        <v>0</v>
      </c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3">
        <f t="shared" si="4"/>
        <v>0</v>
      </c>
      <c r="AO37" s="93">
        <f t="shared" si="5"/>
        <v>20</v>
      </c>
      <c r="AP37" s="94"/>
      <c r="AQ37" s="94">
        <v>6</v>
      </c>
      <c r="AR37" s="95">
        <f t="shared" si="0"/>
        <v>26</v>
      </c>
      <c r="AS37">
        <f t="shared" si="6"/>
        <v>20</v>
      </c>
      <c r="AT37" t="b">
        <f t="shared" si="1"/>
        <v>1</v>
      </c>
    </row>
    <row r="38" spans="1:46" ht="14.1" customHeight="1">
      <c r="A38" s="182">
        <v>32</v>
      </c>
      <c r="B38" s="94" t="s">
        <v>108</v>
      </c>
      <c r="C38" s="94" t="s">
        <v>107</v>
      </c>
      <c r="D38" s="91" t="s">
        <v>211</v>
      </c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93">
        <f t="shared" si="2"/>
        <v>0</v>
      </c>
      <c r="Q38" s="98"/>
      <c r="R38" s="181">
        <v>5</v>
      </c>
      <c r="S38" s="98"/>
      <c r="T38" s="98"/>
      <c r="U38" s="98">
        <v>5</v>
      </c>
      <c r="V38" s="98">
        <v>5</v>
      </c>
      <c r="W38" s="97">
        <v>5</v>
      </c>
      <c r="X38" s="98"/>
      <c r="Y38" s="98"/>
      <c r="Z38" s="98"/>
      <c r="AA38" s="98"/>
      <c r="AB38" s="93">
        <f t="shared" si="3"/>
        <v>20</v>
      </c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3">
        <f t="shared" si="4"/>
        <v>0</v>
      </c>
      <c r="AO38" s="93">
        <f t="shared" si="5"/>
        <v>20</v>
      </c>
      <c r="AP38" s="94"/>
      <c r="AQ38" s="94">
        <v>6</v>
      </c>
      <c r="AR38" s="95">
        <f t="shared" ref="AR38" si="15">SUM(AO38:AQ38)</f>
        <v>26</v>
      </c>
      <c r="AS38">
        <f t="shared" si="6"/>
        <v>20</v>
      </c>
      <c r="AT38" t="b">
        <f t="shared" si="1"/>
        <v>1</v>
      </c>
    </row>
    <row r="39" spans="1:46" ht="14.1" customHeight="1">
      <c r="A39" s="182">
        <v>33</v>
      </c>
      <c r="B39" s="94" t="s">
        <v>247</v>
      </c>
      <c r="C39" s="94" t="s">
        <v>248</v>
      </c>
      <c r="D39" s="91" t="s">
        <v>211</v>
      </c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93">
        <f t="shared" si="2"/>
        <v>0</v>
      </c>
      <c r="Q39" s="98"/>
      <c r="R39" s="98"/>
      <c r="S39" s="98"/>
      <c r="T39" s="193">
        <v>5</v>
      </c>
      <c r="U39" s="98"/>
      <c r="V39" s="98"/>
      <c r="W39" s="98"/>
      <c r="X39" s="98">
        <v>5</v>
      </c>
      <c r="Y39" s="98">
        <v>5</v>
      </c>
      <c r="Z39" s="98">
        <v>5</v>
      </c>
      <c r="AA39" s="98">
        <v>5</v>
      </c>
      <c r="AB39" s="93">
        <f t="shared" si="3"/>
        <v>25</v>
      </c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3">
        <f t="shared" si="4"/>
        <v>0</v>
      </c>
      <c r="AO39" s="93">
        <f t="shared" si="5"/>
        <v>25</v>
      </c>
      <c r="AP39" s="94"/>
      <c r="AQ39" s="94"/>
      <c r="AR39" s="95">
        <f t="shared" si="0"/>
        <v>25</v>
      </c>
      <c r="AS39">
        <f t="shared" si="6"/>
        <v>25</v>
      </c>
      <c r="AT39" t="b">
        <f t="shared" si="1"/>
        <v>1</v>
      </c>
    </row>
    <row r="40" spans="1:46" ht="14.1" customHeight="1">
      <c r="A40" s="89">
        <v>34</v>
      </c>
      <c r="B40" s="99" t="s">
        <v>30</v>
      </c>
      <c r="C40" s="99" t="s">
        <v>67</v>
      </c>
      <c r="D40" s="100" t="s">
        <v>220</v>
      </c>
      <c r="E40" s="101"/>
      <c r="F40" s="101"/>
      <c r="G40" s="101"/>
      <c r="H40" s="101"/>
      <c r="I40" s="101"/>
      <c r="J40" s="101"/>
      <c r="K40" s="175">
        <v>0</v>
      </c>
      <c r="L40" s="101">
        <v>4</v>
      </c>
      <c r="M40" s="101">
        <v>4</v>
      </c>
      <c r="N40" s="101">
        <v>4</v>
      </c>
      <c r="O40" s="101">
        <v>4</v>
      </c>
      <c r="P40" s="93">
        <f t="shared" si="2"/>
        <v>16</v>
      </c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93">
        <f t="shared" si="3"/>
        <v>0</v>
      </c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93">
        <f t="shared" si="4"/>
        <v>0</v>
      </c>
      <c r="AO40" s="93">
        <f t="shared" si="5"/>
        <v>16</v>
      </c>
      <c r="AP40" s="99">
        <v>12</v>
      </c>
      <c r="AQ40" s="99"/>
      <c r="AR40" s="95">
        <f t="shared" ref="AR40:AR46" si="16">SUM(AO40:AQ40)</f>
        <v>28</v>
      </c>
      <c r="AS40">
        <f t="shared" si="6"/>
        <v>16</v>
      </c>
      <c r="AT40" t="b">
        <f t="shared" si="1"/>
        <v>1</v>
      </c>
    </row>
    <row r="41" spans="1:46" ht="14.1" customHeight="1">
      <c r="A41" s="89">
        <v>35</v>
      </c>
      <c r="B41" s="99" t="s">
        <v>31</v>
      </c>
      <c r="C41" s="99" t="s">
        <v>68</v>
      </c>
      <c r="D41" s="100" t="s">
        <v>220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93">
        <f t="shared" si="2"/>
        <v>0</v>
      </c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93">
        <f t="shared" si="3"/>
        <v>0</v>
      </c>
      <c r="AC41" s="101"/>
      <c r="AD41" s="101"/>
      <c r="AE41" s="101"/>
      <c r="AF41" s="101"/>
      <c r="AG41" s="101"/>
      <c r="AH41" s="101"/>
      <c r="AI41" s="175">
        <v>0</v>
      </c>
      <c r="AJ41" s="101">
        <v>4</v>
      </c>
      <c r="AK41" s="101">
        <v>4</v>
      </c>
      <c r="AL41" s="101">
        <v>4</v>
      </c>
      <c r="AM41" s="101">
        <v>4</v>
      </c>
      <c r="AN41" s="93">
        <f t="shared" si="4"/>
        <v>16</v>
      </c>
      <c r="AO41" s="93">
        <f t="shared" si="5"/>
        <v>16</v>
      </c>
      <c r="AP41" s="99">
        <v>12</v>
      </c>
      <c r="AQ41" s="99"/>
      <c r="AR41" s="95">
        <f t="shared" si="16"/>
        <v>28</v>
      </c>
      <c r="AS41">
        <f t="shared" si="6"/>
        <v>16</v>
      </c>
      <c r="AT41" t="b">
        <f t="shared" si="1"/>
        <v>1</v>
      </c>
    </row>
    <row r="42" spans="1:46" ht="14.1" customHeight="1">
      <c r="A42" s="89">
        <v>36</v>
      </c>
      <c r="B42" s="99" t="s">
        <v>32</v>
      </c>
      <c r="C42" s="99" t="s">
        <v>69</v>
      </c>
      <c r="D42" s="100" t="s">
        <v>220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93">
        <f t="shared" si="2"/>
        <v>0</v>
      </c>
      <c r="Q42" s="223">
        <v>4</v>
      </c>
      <c r="R42" s="223">
        <v>4</v>
      </c>
      <c r="S42" s="97">
        <v>4</v>
      </c>
      <c r="T42" s="223">
        <v>4</v>
      </c>
      <c r="U42" s="193">
        <v>4</v>
      </c>
      <c r="V42" s="223"/>
      <c r="W42" s="223"/>
      <c r="X42" s="223"/>
      <c r="Y42" s="223"/>
      <c r="Z42" s="223"/>
      <c r="AA42" s="223"/>
      <c r="AB42" s="93">
        <f t="shared" si="3"/>
        <v>20</v>
      </c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93">
        <f t="shared" si="4"/>
        <v>0</v>
      </c>
      <c r="AO42" s="93">
        <f t="shared" si="5"/>
        <v>20</v>
      </c>
      <c r="AP42" s="99"/>
      <c r="AQ42" s="99">
        <v>6</v>
      </c>
      <c r="AR42" s="95">
        <f t="shared" si="16"/>
        <v>26</v>
      </c>
      <c r="AS42">
        <f t="shared" si="6"/>
        <v>20</v>
      </c>
      <c r="AT42" t="b">
        <f t="shared" si="1"/>
        <v>1</v>
      </c>
    </row>
    <row r="43" spans="1:46" ht="14.1" customHeight="1">
      <c r="A43" s="89">
        <v>37</v>
      </c>
      <c r="B43" s="99" t="s">
        <v>33</v>
      </c>
      <c r="C43" s="99" t="s">
        <v>283</v>
      </c>
      <c r="D43" s="100" t="s">
        <v>220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93">
        <f t="shared" si="2"/>
        <v>0</v>
      </c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93">
        <f t="shared" si="3"/>
        <v>0</v>
      </c>
      <c r="AC43" s="97">
        <v>4</v>
      </c>
      <c r="AD43" s="101">
        <v>4</v>
      </c>
      <c r="AE43" s="101">
        <v>4</v>
      </c>
      <c r="AF43" s="101">
        <v>4</v>
      </c>
      <c r="AG43" s="101">
        <v>4</v>
      </c>
      <c r="AH43" s="175">
        <v>0</v>
      </c>
      <c r="AI43" s="101"/>
      <c r="AJ43" s="101"/>
      <c r="AK43" s="101"/>
      <c r="AL43" s="101"/>
      <c r="AM43" s="101"/>
      <c r="AN43" s="93">
        <f t="shared" si="4"/>
        <v>20</v>
      </c>
      <c r="AO43" s="93">
        <f t="shared" si="5"/>
        <v>20</v>
      </c>
      <c r="AP43" s="99"/>
      <c r="AQ43" s="99">
        <v>6</v>
      </c>
      <c r="AR43" s="95">
        <f t="shared" si="16"/>
        <v>26</v>
      </c>
      <c r="AS43">
        <f t="shared" si="6"/>
        <v>20</v>
      </c>
      <c r="AT43" t="b">
        <f t="shared" si="1"/>
        <v>1</v>
      </c>
    </row>
    <row r="44" spans="1:46" ht="14.1" customHeight="1">
      <c r="A44" s="89">
        <v>38</v>
      </c>
      <c r="B44" s="99" t="s">
        <v>34</v>
      </c>
      <c r="C44" s="99" t="s">
        <v>35</v>
      </c>
      <c r="D44" s="100" t="s">
        <v>220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93">
        <f t="shared" si="2"/>
        <v>0</v>
      </c>
      <c r="Q44" s="223"/>
      <c r="R44" s="223"/>
      <c r="S44" s="223"/>
      <c r="T44" s="223"/>
      <c r="U44" s="223"/>
      <c r="V44" s="223"/>
      <c r="W44" s="223">
        <v>0</v>
      </c>
      <c r="X44" s="223">
        <v>4</v>
      </c>
      <c r="Y44" s="223">
        <v>4</v>
      </c>
      <c r="Z44" s="223">
        <v>4</v>
      </c>
      <c r="AA44" s="223">
        <v>4</v>
      </c>
      <c r="AB44" s="93">
        <f t="shared" si="3"/>
        <v>16</v>
      </c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93">
        <f t="shared" si="4"/>
        <v>0</v>
      </c>
      <c r="AO44" s="93">
        <f t="shared" si="5"/>
        <v>16</v>
      </c>
      <c r="AP44" s="99">
        <v>12</v>
      </c>
      <c r="AQ44" s="99"/>
      <c r="AR44" s="95">
        <f t="shared" si="16"/>
        <v>28</v>
      </c>
      <c r="AS44">
        <f t="shared" si="6"/>
        <v>16</v>
      </c>
      <c r="AT44" t="b">
        <f t="shared" si="1"/>
        <v>1</v>
      </c>
    </row>
    <row r="45" spans="1:46" ht="14.1" customHeight="1">
      <c r="A45" s="89">
        <v>39</v>
      </c>
      <c r="B45" s="99" t="s">
        <v>36</v>
      </c>
      <c r="C45" s="99" t="s">
        <v>239</v>
      </c>
      <c r="D45" s="100" t="s">
        <v>220</v>
      </c>
      <c r="E45" s="101">
        <v>4</v>
      </c>
      <c r="F45" s="101">
        <v>4</v>
      </c>
      <c r="G45" s="101">
        <v>4</v>
      </c>
      <c r="H45" s="101">
        <v>4</v>
      </c>
      <c r="I45" s="101">
        <v>4</v>
      </c>
      <c r="J45" s="101">
        <v>4</v>
      </c>
      <c r="K45" s="101"/>
      <c r="L45" s="101"/>
      <c r="M45" s="101"/>
      <c r="N45" s="101"/>
      <c r="O45" s="101"/>
      <c r="P45" s="93">
        <f t="shared" si="2"/>
        <v>24</v>
      </c>
      <c r="Q45" s="223"/>
      <c r="R45" s="223"/>
      <c r="S45" s="223"/>
      <c r="T45" s="223"/>
      <c r="U45" s="223"/>
      <c r="V45" s="175">
        <v>0</v>
      </c>
      <c r="W45" s="223"/>
      <c r="X45" s="223"/>
      <c r="Y45" s="223"/>
      <c r="Z45" s="223"/>
      <c r="AA45" s="223"/>
      <c r="AB45" s="93">
        <f t="shared" si="3"/>
        <v>0</v>
      </c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93">
        <f t="shared" si="4"/>
        <v>0</v>
      </c>
      <c r="AO45" s="93">
        <f t="shared" si="5"/>
        <v>24</v>
      </c>
      <c r="AP45" s="99"/>
      <c r="AQ45" s="99"/>
      <c r="AR45" s="95">
        <f t="shared" si="16"/>
        <v>24</v>
      </c>
      <c r="AS45">
        <f t="shared" si="6"/>
        <v>24</v>
      </c>
      <c r="AT45" t="b">
        <f t="shared" si="1"/>
        <v>1</v>
      </c>
    </row>
    <row r="46" spans="1:46" ht="14.1" customHeight="1">
      <c r="A46" s="89">
        <v>40</v>
      </c>
      <c r="B46" s="99" t="s">
        <v>295</v>
      </c>
      <c r="C46" s="178" t="s">
        <v>294</v>
      </c>
      <c r="D46" s="100" t="s">
        <v>220</v>
      </c>
      <c r="E46" s="101"/>
      <c r="F46" s="101"/>
      <c r="G46" s="101"/>
      <c r="H46" s="101"/>
      <c r="I46" s="101"/>
      <c r="J46" s="101"/>
      <c r="K46" s="101">
        <v>4</v>
      </c>
      <c r="L46" s="101"/>
      <c r="M46" s="101"/>
      <c r="N46" s="101"/>
      <c r="O46" s="101"/>
      <c r="P46" s="93">
        <f t="shared" si="2"/>
        <v>4</v>
      </c>
      <c r="Q46" s="223"/>
      <c r="R46" s="223"/>
      <c r="S46" s="223"/>
      <c r="T46" s="223"/>
      <c r="U46" s="223"/>
      <c r="V46" s="223">
        <v>4</v>
      </c>
      <c r="W46" s="223">
        <v>4</v>
      </c>
      <c r="X46" s="223"/>
      <c r="Y46" s="223"/>
      <c r="Z46" s="223"/>
      <c r="AA46" s="223"/>
      <c r="AB46" s="93">
        <f t="shared" si="3"/>
        <v>8</v>
      </c>
      <c r="AC46" s="101"/>
      <c r="AD46" s="101"/>
      <c r="AE46" s="101"/>
      <c r="AF46" s="101"/>
      <c r="AG46" s="101"/>
      <c r="AH46" s="101">
        <v>4</v>
      </c>
      <c r="AI46" s="101">
        <v>4</v>
      </c>
      <c r="AJ46" s="101"/>
      <c r="AK46" s="101"/>
      <c r="AL46" s="101"/>
      <c r="AM46" s="101"/>
      <c r="AN46" s="93">
        <f t="shared" si="4"/>
        <v>8</v>
      </c>
      <c r="AO46" s="93">
        <f t="shared" si="5"/>
        <v>20</v>
      </c>
      <c r="AP46" s="99"/>
      <c r="AQ46" s="99"/>
      <c r="AR46" s="95">
        <f t="shared" si="16"/>
        <v>20</v>
      </c>
      <c r="AS46">
        <f t="shared" si="6"/>
        <v>20</v>
      </c>
      <c r="AT46" t="b">
        <f t="shared" si="1"/>
        <v>1</v>
      </c>
    </row>
    <row r="47" spans="1:46" ht="14.1" customHeight="1">
      <c r="A47" s="89">
        <v>41</v>
      </c>
      <c r="B47" s="94" t="s">
        <v>25</v>
      </c>
      <c r="C47" s="94" t="s">
        <v>62</v>
      </c>
      <c r="D47" s="91" t="s">
        <v>139</v>
      </c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>
        <v>4</v>
      </c>
      <c r="P47" s="94">
        <f t="shared" si="2"/>
        <v>4</v>
      </c>
      <c r="Q47" s="223"/>
      <c r="R47" s="223"/>
      <c r="S47" s="223"/>
      <c r="T47" s="223"/>
      <c r="U47" s="223"/>
      <c r="V47" s="223"/>
      <c r="W47" s="223"/>
      <c r="X47" s="223"/>
      <c r="Y47" s="223">
        <v>4</v>
      </c>
      <c r="Z47" s="97">
        <v>4</v>
      </c>
      <c r="AA47" s="223">
        <v>4</v>
      </c>
      <c r="AB47" s="93">
        <f t="shared" si="3"/>
        <v>12</v>
      </c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3">
        <f t="shared" si="4"/>
        <v>0</v>
      </c>
      <c r="AO47" s="93">
        <f t="shared" si="5"/>
        <v>16</v>
      </c>
      <c r="AP47" s="94"/>
      <c r="AQ47" s="94">
        <v>6</v>
      </c>
      <c r="AR47" s="95">
        <f t="shared" ref="AR47:AR56" si="17">SUM(AO47:AQ47)</f>
        <v>22</v>
      </c>
      <c r="AS47">
        <f t="shared" si="6"/>
        <v>16</v>
      </c>
      <c r="AT47" t="b">
        <f t="shared" si="1"/>
        <v>1</v>
      </c>
    </row>
    <row r="48" spans="1:46" ht="14.1" customHeight="1">
      <c r="A48" s="89">
        <v>42</v>
      </c>
      <c r="B48" s="94" t="s">
        <v>27</v>
      </c>
      <c r="C48" s="94" t="s">
        <v>64</v>
      </c>
      <c r="D48" s="91" t="s">
        <v>139</v>
      </c>
      <c r="E48" s="98"/>
      <c r="F48" s="98"/>
      <c r="G48" s="98"/>
      <c r="H48" s="98">
        <v>4</v>
      </c>
      <c r="I48" s="193">
        <v>4</v>
      </c>
      <c r="J48" s="98"/>
      <c r="K48" s="98"/>
      <c r="L48" s="98"/>
      <c r="M48" s="98"/>
      <c r="N48" s="98"/>
      <c r="O48" s="98"/>
      <c r="P48" s="94">
        <f t="shared" si="2"/>
        <v>8</v>
      </c>
      <c r="Q48" s="223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94">
        <f t="shared" si="3"/>
        <v>0</v>
      </c>
      <c r="AC48" s="98"/>
      <c r="AD48" s="98"/>
      <c r="AE48" s="98"/>
      <c r="AF48" s="98"/>
      <c r="AG48" s="98"/>
      <c r="AH48" s="98"/>
      <c r="AI48" s="98"/>
      <c r="AJ48" s="98"/>
      <c r="AK48" s="98">
        <v>4</v>
      </c>
      <c r="AL48" s="97">
        <v>4</v>
      </c>
      <c r="AM48" s="98">
        <v>4</v>
      </c>
      <c r="AN48" s="93">
        <f t="shared" si="4"/>
        <v>12</v>
      </c>
      <c r="AO48" s="93">
        <f t="shared" si="5"/>
        <v>20</v>
      </c>
      <c r="AP48" s="94"/>
      <c r="AQ48" s="94">
        <v>6</v>
      </c>
      <c r="AR48" s="95">
        <f t="shared" si="17"/>
        <v>26</v>
      </c>
      <c r="AS48">
        <f t="shared" si="6"/>
        <v>20</v>
      </c>
      <c r="AT48" t="b">
        <f t="shared" si="1"/>
        <v>1</v>
      </c>
    </row>
    <row r="49" spans="1:46" ht="14.1" customHeight="1">
      <c r="A49" s="89">
        <v>43</v>
      </c>
      <c r="B49" s="94" t="s">
        <v>28</v>
      </c>
      <c r="C49" s="94" t="s">
        <v>65</v>
      </c>
      <c r="D49" s="91" t="s">
        <v>139</v>
      </c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4">
        <f t="shared" si="2"/>
        <v>0</v>
      </c>
      <c r="Q49" s="223"/>
      <c r="R49" s="97">
        <v>4</v>
      </c>
      <c r="S49" s="223">
        <v>4</v>
      </c>
      <c r="T49" s="223">
        <v>4</v>
      </c>
      <c r="U49" s="223">
        <v>4</v>
      </c>
      <c r="V49" s="223"/>
      <c r="W49" s="223"/>
      <c r="X49" s="223"/>
      <c r="Y49" s="223"/>
      <c r="Z49" s="223"/>
      <c r="AA49" s="223"/>
      <c r="AB49" s="94">
        <f t="shared" si="3"/>
        <v>16</v>
      </c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3">
        <f t="shared" si="4"/>
        <v>0</v>
      </c>
      <c r="AO49" s="93">
        <f t="shared" si="5"/>
        <v>16</v>
      </c>
      <c r="AP49" s="94"/>
      <c r="AQ49" s="94">
        <v>6</v>
      </c>
      <c r="AR49" s="95">
        <f t="shared" si="17"/>
        <v>22</v>
      </c>
      <c r="AS49">
        <f t="shared" si="6"/>
        <v>16</v>
      </c>
      <c r="AT49" t="b">
        <f t="shared" si="1"/>
        <v>1</v>
      </c>
    </row>
    <row r="50" spans="1:46" ht="14.1" customHeight="1">
      <c r="A50" s="89">
        <v>44</v>
      </c>
      <c r="B50" s="94" t="s">
        <v>74</v>
      </c>
      <c r="C50" s="94" t="s">
        <v>75</v>
      </c>
      <c r="D50" s="91" t="s">
        <v>139</v>
      </c>
      <c r="E50" s="98">
        <v>4</v>
      </c>
      <c r="F50" s="97">
        <v>4</v>
      </c>
      <c r="G50" s="98">
        <v>4</v>
      </c>
      <c r="H50" s="98"/>
      <c r="I50" s="98"/>
      <c r="J50" s="98"/>
      <c r="K50" s="98"/>
      <c r="L50" s="98"/>
      <c r="M50" s="98"/>
      <c r="N50" s="98"/>
      <c r="O50" s="98"/>
      <c r="P50" s="93">
        <f t="shared" si="2"/>
        <v>12</v>
      </c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94">
        <f t="shared" si="3"/>
        <v>0</v>
      </c>
      <c r="AC50" s="98">
        <v>4</v>
      </c>
      <c r="AD50" s="98">
        <v>4</v>
      </c>
      <c r="AE50" s="98"/>
      <c r="AF50" s="98"/>
      <c r="AG50" s="98"/>
      <c r="AH50" s="98"/>
      <c r="AI50" s="98"/>
      <c r="AJ50" s="98"/>
      <c r="AK50" s="98"/>
      <c r="AL50" s="98"/>
      <c r="AM50" s="98"/>
      <c r="AN50" s="93">
        <f t="shared" si="4"/>
        <v>8</v>
      </c>
      <c r="AO50" s="93">
        <f t="shared" si="5"/>
        <v>20</v>
      </c>
      <c r="AP50" s="94"/>
      <c r="AQ50" s="94">
        <v>6</v>
      </c>
      <c r="AR50" s="95">
        <f t="shared" si="17"/>
        <v>26</v>
      </c>
      <c r="AS50">
        <f t="shared" si="6"/>
        <v>20</v>
      </c>
      <c r="AT50" t="b">
        <f t="shared" si="1"/>
        <v>1</v>
      </c>
    </row>
    <row r="51" spans="1:46" ht="14.1" customHeight="1">
      <c r="A51" s="89">
        <v>45</v>
      </c>
      <c r="B51" s="94" t="s">
        <v>26</v>
      </c>
      <c r="C51" s="94" t="s">
        <v>63</v>
      </c>
      <c r="D51" s="91" t="s">
        <v>139</v>
      </c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3">
        <f t="shared" si="2"/>
        <v>0</v>
      </c>
      <c r="Q51" s="132">
        <v>4</v>
      </c>
      <c r="R51" s="225"/>
      <c r="S51" s="223"/>
      <c r="T51" s="223"/>
      <c r="U51" s="223"/>
      <c r="V51" s="223"/>
      <c r="W51" s="223"/>
      <c r="X51" s="223"/>
      <c r="Y51" s="223"/>
      <c r="Z51" s="223"/>
      <c r="AA51" s="223"/>
      <c r="AB51" s="94">
        <f t="shared" si="3"/>
        <v>4</v>
      </c>
      <c r="AC51" s="98"/>
      <c r="AD51" s="98"/>
      <c r="AE51" s="98">
        <v>4</v>
      </c>
      <c r="AF51" s="98">
        <v>4</v>
      </c>
      <c r="AG51" s="98">
        <v>4</v>
      </c>
      <c r="AH51" s="98"/>
      <c r="AI51" s="98"/>
      <c r="AJ51" s="98"/>
      <c r="AK51" s="98"/>
      <c r="AL51" s="98"/>
      <c r="AM51" s="98"/>
      <c r="AN51" s="93">
        <f t="shared" si="4"/>
        <v>12</v>
      </c>
      <c r="AO51" s="93">
        <f t="shared" si="5"/>
        <v>16</v>
      </c>
      <c r="AP51" s="94"/>
      <c r="AQ51" s="94">
        <v>6</v>
      </c>
      <c r="AR51" s="95">
        <f t="shared" si="17"/>
        <v>22</v>
      </c>
      <c r="AS51">
        <f t="shared" si="6"/>
        <v>16</v>
      </c>
      <c r="AT51" t="b">
        <f t="shared" si="1"/>
        <v>1</v>
      </c>
    </row>
    <row r="52" spans="1:46" ht="14.1" customHeight="1">
      <c r="A52" s="89">
        <v>46</v>
      </c>
      <c r="B52" s="94" t="s">
        <v>147</v>
      </c>
      <c r="C52" s="94" t="s">
        <v>277</v>
      </c>
      <c r="D52" s="91" t="s">
        <v>139</v>
      </c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4">
        <f t="shared" si="2"/>
        <v>0</v>
      </c>
      <c r="Q52" s="223"/>
      <c r="R52" s="223"/>
      <c r="S52" s="223"/>
      <c r="T52" s="223"/>
      <c r="U52" s="223"/>
      <c r="V52" s="223"/>
      <c r="W52" s="223"/>
      <c r="X52" s="223">
        <v>4</v>
      </c>
      <c r="Y52" s="223"/>
      <c r="Z52" s="223"/>
      <c r="AA52" s="223"/>
      <c r="AB52" s="94">
        <f t="shared" si="3"/>
        <v>4</v>
      </c>
      <c r="AC52" s="98"/>
      <c r="AD52" s="98"/>
      <c r="AE52" s="98"/>
      <c r="AF52" s="98"/>
      <c r="AG52" s="98"/>
      <c r="AH52" s="98">
        <v>4</v>
      </c>
      <c r="AI52" s="98">
        <v>4</v>
      </c>
      <c r="AJ52" s="98">
        <v>4</v>
      </c>
      <c r="AK52" s="98"/>
      <c r="AL52" s="98"/>
      <c r="AM52" s="98"/>
      <c r="AN52" s="93">
        <f t="shared" si="4"/>
        <v>12</v>
      </c>
      <c r="AO52" s="93">
        <f t="shared" si="5"/>
        <v>16</v>
      </c>
      <c r="AP52" s="94"/>
      <c r="AQ52" s="94"/>
      <c r="AR52" s="95">
        <f t="shared" si="17"/>
        <v>16</v>
      </c>
      <c r="AS52">
        <f t="shared" si="6"/>
        <v>16</v>
      </c>
      <c r="AT52" t="b">
        <f t="shared" si="1"/>
        <v>1</v>
      </c>
    </row>
    <row r="53" spans="1:46" ht="14.1" customHeight="1">
      <c r="A53" s="89">
        <v>47</v>
      </c>
      <c r="B53" s="94" t="s">
        <v>274</v>
      </c>
      <c r="C53" s="94" t="s">
        <v>273</v>
      </c>
      <c r="D53" s="91" t="s">
        <v>139</v>
      </c>
      <c r="E53" s="98"/>
      <c r="F53" s="98"/>
      <c r="G53" s="98"/>
      <c r="H53" s="98"/>
      <c r="I53" s="98"/>
      <c r="J53" s="98"/>
      <c r="K53" s="98">
        <v>4</v>
      </c>
      <c r="L53" s="98">
        <v>4</v>
      </c>
      <c r="M53" s="98">
        <v>4</v>
      </c>
      <c r="N53" s="98">
        <v>4</v>
      </c>
      <c r="O53" s="98"/>
      <c r="P53" s="94">
        <f t="shared" si="2"/>
        <v>16</v>
      </c>
      <c r="Q53" s="225"/>
      <c r="R53" s="225"/>
      <c r="S53" s="223"/>
      <c r="T53" s="223"/>
      <c r="U53" s="223"/>
      <c r="V53" s="223">
        <v>4</v>
      </c>
      <c r="W53" s="223">
        <v>4</v>
      </c>
      <c r="X53" s="223"/>
      <c r="Y53" s="223"/>
      <c r="Z53" s="223"/>
      <c r="AA53" s="223"/>
      <c r="AB53" s="94">
        <f t="shared" si="3"/>
        <v>8</v>
      </c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3">
        <f t="shared" si="4"/>
        <v>0</v>
      </c>
      <c r="AO53" s="93">
        <f t="shared" si="5"/>
        <v>24</v>
      </c>
      <c r="AP53" s="94"/>
      <c r="AQ53" s="94"/>
      <c r="AR53" s="95">
        <f t="shared" si="17"/>
        <v>24</v>
      </c>
      <c r="AS53">
        <f t="shared" si="6"/>
        <v>24</v>
      </c>
      <c r="AT53" t="b">
        <f t="shared" si="1"/>
        <v>1</v>
      </c>
    </row>
    <row r="54" spans="1:46" ht="14.1" customHeight="1">
      <c r="A54" s="89">
        <v>48</v>
      </c>
      <c r="B54" s="94" t="s">
        <v>148</v>
      </c>
      <c r="C54" s="94" t="s">
        <v>149</v>
      </c>
      <c r="D54" s="91" t="s">
        <v>139</v>
      </c>
      <c r="E54" s="98"/>
      <c r="F54" s="98"/>
      <c r="G54" s="98"/>
      <c r="H54" s="98"/>
      <c r="I54" s="193">
        <v>0</v>
      </c>
      <c r="J54" s="98">
        <v>4</v>
      </c>
      <c r="K54" s="98"/>
      <c r="L54" s="98"/>
      <c r="M54" s="98"/>
      <c r="N54" s="98"/>
      <c r="O54" s="98"/>
      <c r="P54" s="94">
        <f t="shared" si="2"/>
        <v>4</v>
      </c>
      <c r="Q54" s="225"/>
      <c r="R54" s="225"/>
      <c r="S54" s="223"/>
      <c r="T54" s="223"/>
      <c r="U54" s="223"/>
      <c r="V54" s="223"/>
      <c r="W54" s="223"/>
      <c r="X54" s="223"/>
      <c r="Y54" s="223"/>
      <c r="Z54" s="223"/>
      <c r="AA54" s="223"/>
      <c r="AB54" s="94">
        <f t="shared" si="3"/>
        <v>0</v>
      </c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3">
        <f t="shared" si="4"/>
        <v>0</v>
      </c>
      <c r="AO54" s="93">
        <f t="shared" si="5"/>
        <v>4</v>
      </c>
      <c r="AP54" s="94"/>
      <c r="AQ54" s="94"/>
      <c r="AR54" s="95">
        <f t="shared" si="17"/>
        <v>4</v>
      </c>
      <c r="AS54">
        <f t="shared" si="6"/>
        <v>4</v>
      </c>
      <c r="AT54" t="b">
        <f t="shared" si="1"/>
        <v>1</v>
      </c>
    </row>
    <row r="55" spans="1:46" ht="14.1" customHeight="1">
      <c r="A55" s="89">
        <v>49</v>
      </c>
      <c r="B55" s="99" t="s">
        <v>140</v>
      </c>
      <c r="C55" s="183" t="s">
        <v>218</v>
      </c>
      <c r="D55" s="100" t="s">
        <v>219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93">
        <f t="shared" si="2"/>
        <v>0</v>
      </c>
      <c r="Q55" s="101"/>
      <c r="R55" s="101"/>
      <c r="S55" s="101"/>
      <c r="T55" s="101"/>
      <c r="U55" s="101"/>
      <c r="V55" s="101"/>
      <c r="W55" s="185"/>
      <c r="X55" s="101"/>
      <c r="Y55" s="101"/>
      <c r="Z55" s="101"/>
      <c r="AA55" s="101"/>
      <c r="AB55" s="93">
        <f t="shared" si="3"/>
        <v>0</v>
      </c>
      <c r="AC55" s="223"/>
      <c r="AD55" s="223"/>
      <c r="AE55" s="223"/>
      <c r="AF55" s="223">
        <v>3</v>
      </c>
      <c r="AG55" s="223">
        <v>3</v>
      </c>
      <c r="AH55" s="223">
        <v>3</v>
      </c>
      <c r="AI55" s="223">
        <v>3</v>
      </c>
      <c r="AJ55" s="223">
        <v>3</v>
      </c>
      <c r="AK55" s="223">
        <v>3</v>
      </c>
      <c r="AL55" s="223">
        <v>3</v>
      </c>
      <c r="AM55" s="223">
        <v>3</v>
      </c>
      <c r="AN55" s="93">
        <f t="shared" si="4"/>
        <v>24</v>
      </c>
      <c r="AO55" s="93">
        <f t="shared" si="5"/>
        <v>24</v>
      </c>
      <c r="AP55" s="99"/>
      <c r="AQ55" s="99">
        <v>6</v>
      </c>
      <c r="AR55" s="95">
        <f t="shared" si="17"/>
        <v>30</v>
      </c>
      <c r="AS55">
        <f t="shared" si="6"/>
        <v>24</v>
      </c>
      <c r="AT55" t="b">
        <f t="shared" si="1"/>
        <v>1</v>
      </c>
    </row>
    <row r="56" spans="1:46" ht="14.1" customHeight="1">
      <c r="A56" s="89">
        <v>50</v>
      </c>
      <c r="B56" s="99" t="s">
        <v>231</v>
      </c>
      <c r="C56" s="99" t="s">
        <v>232</v>
      </c>
      <c r="D56" s="100" t="s">
        <v>219</v>
      </c>
      <c r="E56" s="101"/>
      <c r="F56" s="101"/>
      <c r="G56" s="101"/>
      <c r="H56" s="101"/>
      <c r="I56" s="101"/>
      <c r="J56" s="101"/>
      <c r="K56" s="101">
        <v>3</v>
      </c>
      <c r="L56" s="101">
        <v>3</v>
      </c>
      <c r="M56" s="101">
        <v>3</v>
      </c>
      <c r="N56" s="101">
        <v>3</v>
      </c>
      <c r="O56" s="97">
        <v>3</v>
      </c>
      <c r="P56" s="93">
        <f t="shared" si="2"/>
        <v>15</v>
      </c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93">
        <f t="shared" si="3"/>
        <v>0</v>
      </c>
      <c r="AC56" s="223">
        <v>3</v>
      </c>
      <c r="AD56" s="223">
        <v>3</v>
      </c>
      <c r="AE56" s="223">
        <v>3</v>
      </c>
      <c r="AF56" s="223"/>
      <c r="AG56" s="223"/>
      <c r="AH56" s="223"/>
      <c r="AI56" s="223"/>
      <c r="AJ56" s="223"/>
      <c r="AK56" s="223"/>
      <c r="AL56" s="223"/>
      <c r="AM56" s="223"/>
      <c r="AN56" s="93">
        <f t="shared" si="4"/>
        <v>9</v>
      </c>
      <c r="AO56" s="93">
        <f t="shared" si="5"/>
        <v>24</v>
      </c>
      <c r="AP56" s="99"/>
      <c r="AQ56" s="99">
        <v>6</v>
      </c>
      <c r="AR56" s="95">
        <f t="shared" si="17"/>
        <v>30</v>
      </c>
      <c r="AS56">
        <f t="shared" si="6"/>
        <v>24</v>
      </c>
      <c r="AT56" t="b">
        <f t="shared" si="1"/>
        <v>1</v>
      </c>
    </row>
    <row r="57" spans="1:46" ht="14.1" customHeight="1">
      <c r="A57" s="89">
        <v>51</v>
      </c>
      <c r="B57" s="142" t="s">
        <v>276</v>
      </c>
      <c r="C57" s="176" t="s">
        <v>275</v>
      </c>
      <c r="D57" s="100" t="s">
        <v>219</v>
      </c>
      <c r="E57" s="101">
        <v>3</v>
      </c>
      <c r="F57" s="101">
        <v>3</v>
      </c>
      <c r="G57" s="101">
        <v>3</v>
      </c>
      <c r="H57" s="101">
        <v>3</v>
      </c>
      <c r="I57" s="101">
        <v>3</v>
      </c>
      <c r="J57" s="101">
        <v>3</v>
      </c>
      <c r="K57" s="101"/>
      <c r="L57" s="101"/>
      <c r="M57" s="101"/>
      <c r="N57" s="101"/>
      <c r="O57" s="101"/>
      <c r="P57" s="93">
        <f t="shared" si="2"/>
        <v>18</v>
      </c>
      <c r="Q57" s="101"/>
      <c r="R57" s="101"/>
      <c r="S57" s="101"/>
      <c r="T57" s="101"/>
      <c r="U57" s="101"/>
      <c r="V57" s="101"/>
      <c r="W57" s="101"/>
      <c r="X57" s="101"/>
      <c r="Y57" s="101"/>
      <c r="Z57" s="101">
        <v>3</v>
      </c>
      <c r="AA57" s="101">
        <v>3</v>
      </c>
      <c r="AB57" s="93">
        <f t="shared" si="3"/>
        <v>6</v>
      </c>
      <c r="AC57" s="223"/>
      <c r="AD57" s="223"/>
      <c r="AE57" s="223"/>
      <c r="AF57" s="223"/>
      <c r="AG57" s="223"/>
      <c r="AH57" s="223"/>
      <c r="AI57" s="223"/>
      <c r="AJ57" s="223"/>
      <c r="AK57" s="223"/>
      <c r="AL57" s="223"/>
      <c r="AM57" s="223"/>
      <c r="AN57" s="93">
        <f t="shared" si="4"/>
        <v>0</v>
      </c>
      <c r="AO57" s="93">
        <f t="shared" si="5"/>
        <v>24</v>
      </c>
      <c r="AP57" s="99"/>
      <c r="AQ57" s="99"/>
      <c r="AR57" s="95">
        <f t="shared" ref="AR57" si="18">SUM(AO57:AQ57)</f>
        <v>24</v>
      </c>
      <c r="AS57">
        <f t="shared" si="6"/>
        <v>24</v>
      </c>
      <c r="AT57" t="b">
        <f t="shared" si="1"/>
        <v>1</v>
      </c>
    </row>
    <row r="58" spans="1:46" ht="14.1" customHeight="1">
      <c r="A58" s="89">
        <v>52</v>
      </c>
      <c r="B58" s="106" t="s">
        <v>244</v>
      </c>
      <c r="C58" s="106" t="s">
        <v>245</v>
      </c>
      <c r="D58" s="184" t="s">
        <v>219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94">
        <f t="shared" si="2"/>
        <v>0</v>
      </c>
      <c r="Q58" s="101">
        <v>3</v>
      </c>
      <c r="R58" s="101">
        <v>3</v>
      </c>
      <c r="S58" s="101">
        <v>3</v>
      </c>
      <c r="T58" s="101">
        <v>3</v>
      </c>
      <c r="U58" s="101">
        <v>3</v>
      </c>
      <c r="V58" s="101">
        <v>3</v>
      </c>
      <c r="W58" s="101">
        <v>3</v>
      </c>
      <c r="X58" s="101">
        <v>3</v>
      </c>
      <c r="Y58" s="101">
        <v>3</v>
      </c>
      <c r="Z58" s="101"/>
      <c r="AA58" s="101"/>
      <c r="AB58" s="94">
        <f t="shared" si="3"/>
        <v>27</v>
      </c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  <c r="AN58" s="94">
        <f t="shared" si="4"/>
        <v>0</v>
      </c>
      <c r="AO58" s="94">
        <f t="shared" si="5"/>
        <v>27</v>
      </c>
      <c r="AP58" s="99"/>
      <c r="AQ58" s="99"/>
      <c r="AR58" s="134">
        <f>SUM(AO58:AQ58)</f>
        <v>27</v>
      </c>
      <c r="AS58" s="68">
        <f t="shared" si="6"/>
        <v>27</v>
      </c>
      <c r="AT58" s="68" t="b">
        <f t="shared" si="1"/>
        <v>1</v>
      </c>
    </row>
    <row r="59" spans="1:46" ht="14.1" customHeight="1">
      <c r="A59" s="89">
        <v>53</v>
      </c>
      <c r="B59" s="93" t="s">
        <v>17</v>
      </c>
      <c r="C59" s="93" t="s">
        <v>55</v>
      </c>
      <c r="D59" s="85" t="s">
        <v>214</v>
      </c>
      <c r="E59" s="96"/>
      <c r="F59" s="96"/>
      <c r="G59" s="96"/>
      <c r="H59" s="96">
        <v>3</v>
      </c>
      <c r="I59" s="97">
        <v>3</v>
      </c>
      <c r="J59" s="175">
        <v>0</v>
      </c>
      <c r="K59" s="98"/>
      <c r="L59" s="98"/>
      <c r="M59" s="98"/>
      <c r="N59" s="98"/>
      <c r="O59" s="96"/>
      <c r="P59" s="93">
        <f t="shared" si="2"/>
        <v>6</v>
      </c>
      <c r="Q59" s="96"/>
      <c r="R59" s="96"/>
      <c r="S59" s="96"/>
      <c r="T59" s="96"/>
      <c r="U59" s="96"/>
      <c r="V59" s="98"/>
      <c r="W59" s="98"/>
      <c r="X59" s="98"/>
      <c r="Y59" s="98"/>
      <c r="Z59" s="96"/>
      <c r="AA59" s="96"/>
      <c r="AB59" s="93">
        <f t="shared" si="3"/>
        <v>0</v>
      </c>
      <c r="AC59" s="223"/>
      <c r="AD59" s="223"/>
      <c r="AE59" s="223"/>
      <c r="AF59" s="223"/>
      <c r="AG59" s="223"/>
      <c r="AH59" s="223"/>
      <c r="AI59" s="223"/>
      <c r="AJ59" s="223"/>
      <c r="AK59" s="223">
        <v>3</v>
      </c>
      <c r="AL59" s="223">
        <v>3</v>
      </c>
      <c r="AM59" s="223">
        <v>3</v>
      </c>
      <c r="AN59" s="93">
        <f t="shared" si="4"/>
        <v>9</v>
      </c>
      <c r="AO59" s="93">
        <f t="shared" si="5"/>
        <v>15</v>
      </c>
      <c r="AP59" s="93"/>
      <c r="AQ59" s="93">
        <v>6</v>
      </c>
      <c r="AR59" s="95">
        <f t="shared" si="0"/>
        <v>21</v>
      </c>
      <c r="AS59">
        <f t="shared" si="6"/>
        <v>15</v>
      </c>
      <c r="AT59" t="b">
        <f t="shared" si="1"/>
        <v>1</v>
      </c>
    </row>
    <row r="60" spans="1:46" ht="14.1" customHeight="1">
      <c r="A60" s="89">
        <v>54</v>
      </c>
      <c r="B60" s="93" t="s">
        <v>18</v>
      </c>
      <c r="C60" s="93" t="s">
        <v>215</v>
      </c>
      <c r="D60" s="85" t="s">
        <v>214</v>
      </c>
      <c r="E60" s="96"/>
      <c r="F60" s="96"/>
      <c r="G60" s="96">
        <v>3</v>
      </c>
      <c r="H60" s="96"/>
      <c r="I60" s="96"/>
      <c r="J60" s="96"/>
      <c r="K60" s="98"/>
      <c r="L60" s="98"/>
      <c r="M60" s="98">
        <v>3</v>
      </c>
      <c r="N60" s="98">
        <v>3</v>
      </c>
      <c r="O60" s="98">
        <v>3</v>
      </c>
      <c r="P60" s="93">
        <f t="shared" si="2"/>
        <v>12</v>
      </c>
      <c r="Q60" s="96"/>
      <c r="R60" s="96"/>
      <c r="S60" s="96"/>
      <c r="T60" s="96"/>
      <c r="U60" s="96"/>
      <c r="V60" s="98"/>
      <c r="W60" s="98"/>
      <c r="X60" s="98"/>
      <c r="Y60" s="98"/>
      <c r="Z60" s="96"/>
      <c r="AA60" s="96"/>
      <c r="AB60" s="93">
        <f t="shared" si="3"/>
        <v>0</v>
      </c>
      <c r="AC60" s="223">
        <v>3</v>
      </c>
      <c r="AD60" s="223">
        <v>3</v>
      </c>
      <c r="AE60" s="223">
        <v>3</v>
      </c>
      <c r="AF60" s="223"/>
      <c r="AG60" s="223"/>
      <c r="AH60" s="223"/>
      <c r="AI60" s="223"/>
      <c r="AJ60" s="223"/>
      <c r="AK60" s="223"/>
      <c r="AL60" s="223"/>
      <c r="AM60" s="223"/>
      <c r="AN60" s="93">
        <f t="shared" si="4"/>
        <v>9</v>
      </c>
      <c r="AO60" s="93">
        <f t="shared" si="5"/>
        <v>21</v>
      </c>
      <c r="AP60" s="93"/>
      <c r="AQ60" s="93"/>
      <c r="AR60" s="95">
        <f t="shared" si="0"/>
        <v>21</v>
      </c>
      <c r="AS60">
        <f t="shared" si="6"/>
        <v>21</v>
      </c>
      <c r="AT60" t="b">
        <f t="shared" si="1"/>
        <v>1</v>
      </c>
    </row>
    <row r="61" spans="1:46" ht="14.1" customHeight="1">
      <c r="A61" s="89">
        <v>55</v>
      </c>
      <c r="B61" s="93" t="s">
        <v>19</v>
      </c>
      <c r="C61" s="93" t="s">
        <v>56</v>
      </c>
      <c r="D61" s="85" t="s">
        <v>214</v>
      </c>
      <c r="E61" s="96"/>
      <c r="F61" s="96"/>
      <c r="G61" s="96"/>
      <c r="H61" s="96"/>
      <c r="I61" s="98"/>
      <c r="J61" s="175">
        <v>3</v>
      </c>
      <c r="K61" s="98"/>
      <c r="L61" s="98"/>
      <c r="M61" s="98"/>
      <c r="N61" s="98"/>
      <c r="O61" s="96"/>
      <c r="P61" s="93">
        <f t="shared" si="2"/>
        <v>3</v>
      </c>
      <c r="Q61" s="96">
        <v>3</v>
      </c>
      <c r="R61" s="96">
        <v>3</v>
      </c>
      <c r="S61" s="96">
        <v>3</v>
      </c>
      <c r="T61" s="96">
        <v>3</v>
      </c>
      <c r="U61" s="96">
        <v>3</v>
      </c>
      <c r="V61" s="96"/>
      <c r="W61" s="96"/>
      <c r="X61" s="96"/>
      <c r="Y61" s="96"/>
      <c r="Z61" s="96"/>
      <c r="AA61" s="96"/>
      <c r="AB61" s="93">
        <f t="shared" si="3"/>
        <v>15</v>
      </c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93">
        <f t="shared" si="4"/>
        <v>0</v>
      </c>
      <c r="AO61" s="93">
        <f t="shared" si="5"/>
        <v>18</v>
      </c>
      <c r="AP61" s="93"/>
      <c r="AQ61" s="93"/>
      <c r="AR61" s="95">
        <f t="shared" si="0"/>
        <v>18</v>
      </c>
      <c r="AS61">
        <f t="shared" si="6"/>
        <v>18</v>
      </c>
      <c r="AT61" t="b">
        <f t="shared" si="1"/>
        <v>1</v>
      </c>
    </row>
    <row r="62" spans="1:46" ht="14.1" customHeight="1">
      <c r="A62" s="89">
        <v>56</v>
      </c>
      <c r="B62" s="93" t="s">
        <v>137</v>
      </c>
      <c r="C62" s="93" t="s">
        <v>138</v>
      </c>
      <c r="D62" s="85" t="s">
        <v>214</v>
      </c>
      <c r="E62" s="98"/>
      <c r="F62" s="98"/>
      <c r="G62" s="98"/>
      <c r="H62" s="98"/>
      <c r="I62" s="98"/>
      <c r="J62" s="98"/>
      <c r="K62" s="98">
        <v>3</v>
      </c>
      <c r="L62" s="97">
        <v>3</v>
      </c>
      <c r="M62" s="98"/>
      <c r="N62" s="98"/>
      <c r="O62" s="98"/>
      <c r="P62" s="94">
        <f t="shared" si="2"/>
        <v>6</v>
      </c>
      <c r="Q62" s="96"/>
      <c r="R62" s="98"/>
      <c r="S62" s="98"/>
      <c r="T62" s="98"/>
      <c r="U62" s="98"/>
      <c r="V62" s="98"/>
      <c r="W62" s="98"/>
      <c r="X62" s="98">
        <v>3</v>
      </c>
      <c r="Y62" s="98">
        <v>3</v>
      </c>
      <c r="Z62" s="98">
        <v>3</v>
      </c>
      <c r="AA62" s="98">
        <v>3</v>
      </c>
      <c r="AB62" s="93">
        <f t="shared" si="3"/>
        <v>12</v>
      </c>
      <c r="AC62" s="223"/>
      <c r="AD62" s="223"/>
      <c r="AE62" s="223"/>
      <c r="AF62" s="223"/>
      <c r="AG62" s="223"/>
      <c r="AH62" s="223"/>
      <c r="AI62" s="223"/>
      <c r="AJ62" s="223"/>
      <c r="AK62" s="223"/>
      <c r="AL62" s="223"/>
      <c r="AM62" s="223"/>
      <c r="AN62" s="93">
        <f t="shared" si="4"/>
        <v>0</v>
      </c>
      <c r="AO62" s="93">
        <f t="shared" si="5"/>
        <v>18</v>
      </c>
      <c r="AP62" s="93"/>
      <c r="AQ62" s="93">
        <v>6</v>
      </c>
      <c r="AR62" s="95">
        <f>SUM(AO62:AQ62)</f>
        <v>24</v>
      </c>
      <c r="AS62">
        <f t="shared" si="6"/>
        <v>18</v>
      </c>
      <c r="AT62" t="b">
        <f t="shared" si="1"/>
        <v>1</v>
      </c>
    </row>
    <row r="63" spans="1:46" ht="14.1" customHeight="1">
      <c r="A63" s="89">
        <v>57</v>
      </c>
      <c r="B63" s="94" t="s">
        <v>229</v>
      </c>
      <c r="C63" s="94" t="s">
        <v>230</v>
      </c>
      <c r="D63" s="91" t="s">
        <v>214</v>
      </c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4">
        <f t="shared" si="2"/>
        <v>0</v>
      </c>
      <c r="Q63" s="96"/>
      <c r="R63" s="98"/>
      <c r="S63" s="98"/>
      <c r="T63" s="98"/>
      <c r="U63" s="105"/>
      <c r="V63" s="98"/>
      <c r="W63" s="98"/>
      <c r="X63" s="98"/>
      <c r="Y63" s="98"/>
      <c r="Z63" s="98"/>
      <c r="AA63" s="98"/>
      <c r="AB63" s="93">
        <f t="shared" si="3"/>
        <v>0</v>
      </c>
      <c r="AC63" s="223"/>
      <c r="AD63" s="223"/>
      <c r="AE63" s="223"/>
      <c r="AF63" s="223">
        <v>3</v>
      </c>
      <c r="AG63" s="223">
        <v>3</v>
      </c>
      <c r="AH63" s="223">
        <v>3</v>
      </c>
      <c r="AI63" s="97">
        <v>3</v>
      </c>
      <c r="AJ63" s="223">
        <v>3</v>
      </c>
      <c r="AK63" s="223"/>
      <c r="AL63" s="223"/>
      <c r="AM63" s="223"/>
      <c r="AN63" s="93">
        <f>SUM(AC63:AM63)</f>
        <v>15</v>
      </c>
      <c r="AO63" s="93">
        <f>AN63+AB63+P63</f>
        <v>15</v>
      </c>
      <c r="AP63" s="93"/>
      <c r="AQ63" s="93">
        <v>6</v>
      </c>
      <c r="AR63" s="95">
        <f>SUM(AO63:AQ63)</f>
        <v>21</v>
      </c>
      <c r="AS63">
        <f>AO63</f>
        <v>15</v>
      </c>
      <c r="AT63" t="b">
        <f>AO63=AS63</f>
        <v>1</v>
      </c>
    </row>
    <row r="64" spans="1:46" ht="14.1" customHeight="1">
      <c r="A64" s="89">
        <v>58</v>
      </c>
      <c r="B64" s="93" t="s">
        <v>145</v>
      </c>
      <c r="C64" s="93" t="s">
        <v>146</v>
      </c>
      <c r="D64" s="85" t="s">
        <v>214</v>
      </c>
      <c r="E64" s="98">
        <v>3</v>
      </c>
      <c r="F64" s="98">
        <v>3</v>
      </c>
      <c r="G64" s="98"/>
      <c r="H64" s="98"/>
      <c r="I64" s="98"/>
      <c r="J64" s="98"/>
      <c r="K64" s="98"/>
      <c r="L64" s="98"/>
      <c r="M64" s="98"/>
      <c r="N64" s="98"/>
      <c r="O64" s="98"/>
      <c r="P64" s="93">
        <f t="shared" si="2"/>
        <v>6</v>
      </c>
      <c r="Q64" s="98"/>
      <c r="R64" s="98"/>
      <c r="S64" s="98"/>
      <c r="T64" s="98"/>
      <c r="U64" s="105"/>
      <c r="V64" s="68">
        <v>3</v>
      </c>
      <c r="W64" s="105">
        <v>3</v>
      </c>
      <c r="X64" s="68"/>
      <c r="Y64" s="105"/>
      <c r="Z64" s="105"/>
      <c r="AA64" s="105"/>
      <c r="AB64" s="93">
        <f t="shared" si="3"/>
        <v>6</v>
      </c>
      <c r="AC64" s="223"/>
      <c r="AD64" s="223"/>
      <c r="AE64" s="223"/>
      <c r="AF64" s="223"/>
      <c r="AG64" s="223"/>
      <c r="AH64" s="223"/>
      <c r="AI64" s="223"/>
      <c r="AJ64" s="223"/>
      <c r="AK64" s="223"/>
      <c r="AL64" s="223"/>
      <c r="AM64" s="223"/>
      <c r="AN64" s="93">
        <f t="shared" si="4"/>
        <v>0</v>
      </c>
      <c r="AO64" s="93">
        <f t="shared" si="5"/>
        <v>12</v>
      </c>
      <c r="AP64" s="93"/>
      <c r="AQ64" s="93"/>
      <c r="AR64" s="95">
        <f t="shared" si="0"/>
        <v>12</v>
      </c>
      <c r="AS64">
        <f t="shared" si="6"/>
        <v>12</v>
      </c>
      <c r="AT64" t="b">
        <f t="shared" si="1"/>
        <v>1</v>
      </c>
    </row>
    <row r="65" spans="1:49" ht="14.1" customHeight="1">
      <c r="A65" s="89">
        <v>59</v>
      </c>
      <c r="B65" s="99" t="s">
        <v>37</v>
      </c>
      <c r="C65" s="99" t="s">
        <v>38</v>
      </c>
      <c r="D65" s="100" t="s">
        <v>221</v>
      </c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90">
        <f t="shared" si="2"/>
        <v>0</v>
      </c>
      <c r="Q65" s="190">
        <v>2</v>
      </c>
      <c r="R65" s="190">
        <v>2</v>
      </c>
      <c r="S65" s="190">
        <v>2</v>
      </c>
      <c r="T65" s="190">
        <v>2</v>
      </c>
      <c r="U65" s="190">
        <v>2</v>
      </c>
      <c r="V65" s="190">
        <v>2</v>
      </c>
      <c r="W65" s="190"/>
      <c r="X65" s="190"/>
      <c r="Y65" s="190"/>
      <c r="Z65" s="190"/>
      <c r="AA65" s="190"/>
      <c r="AB65" s="90">
        <f t="shared" si="3"/>
        <v>12</v>
      </c>
      <c r="AC65" s="190">
        <v>2</v>
      </c>
      <c r="AD65" s="190">
        <v>2</v>
      </c>
      <c r="AE65" s="190">
        <v>2</v>
      </c>
      <c r="AF65" s="190">
        <v>2</v>
      </c>
      <c r="AG65" s="190">
        <v>2</v>
      </c>
      <c r="AH65" s="190">
        <v>2</v>
      </c>
      <c r="AI65" s="191"/>
      <c r="AJ65" s="190"/>
      <c r="AK65" s="190"/>
      <c r="AL65" s="190"/>
      <c r="AM65" s="190"/>
      <c r="AN65" s="90">
        <f t="shared" si="4"/>
        <v>12</v>
      </c>
      <c r="AO65" s="90">
        <f t="shared" si="5"/>
        <v>24</v>
      </c>
      <c r="AP65" s="99"/>
      <c r="AQ65" s="99"/>
      <c r="AR65" s="95">
        <f t="shared" ref="AR65:AR80" si="19">SUM(AO65:AQ65)</f>
        <v>24</v>
      </c>
      <c r="AS65">
        <f t="shared" si="6"/>
        <v>24</v>
      </c>
      <c r="AT65" t="b">
        <f t="shared" si="1"/>
        <v>1</v>
      </c>
    </row>
    <row r="66" spans="1:49" ht="14.1" customHeight="1">
      <c r="A66" s="89">
        <v>60</v>
      </c>
      <c r="B66" s="99" t="s">
        <v>121</v>
      </c>
      <c r="C66" s="99" t="s">
        <v>122</v>
      </c>
      <c r="D66" s="100" t="s">
        <v>221</v>
      </c>
      <c r="E66" s="223">
        <v>2</v>
      </c>
      <c r="F66" s="223">
        <v>2</v>
      </c>
      <c r="G66" s="223">
        <v>2</v>
      </c>
      <c r="H66" s="223">
        <v>2</v>
      </c>
      <c r="I66" s="223">
        <v>2</v>
      </c>
      <c r="J66" s="223">
        <v>2</v>
      </c>
      <c r="K66" s="223">
        <v>2</v>
      </c>
      <c r="L66" s="223">
        <v>2</v>
      </c>
      <c r="M66" s="223">
        <v>2</v>
      </c>
      <c r="N66" s="223">
        <v>2</v>
      </c>
      <c r="O66" s="223">
        <v>2</v>
      </c>
      <c r="P66" s="93">
        <f t="shared" si="2"/>
        <v>22</v>
      </c>
      <c r="Q66" s="99"/>
      <c r="R66" s="99"/>
      <c r="S66" s="99"/>
      <c r="T66" s="99"/>
      <c r="U66" s="99"/>
      <c r="V66" s="99"/>
      <c r="W66" s="99">
        <v>2</v>
      </c>
      <c r="X66" s="99"/>
      <c r="Y66" s="99"/>
      <c r="Z66" s="99"/>
      <c r="AA66" s="99"/>
      <c r="AB66" s="93">
        <f t="shared" si="3"/>
        <v>2</v>
      </c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93">
        <f t="shared" si="4"/>
        <v>0</v>
      </c>
      <c r="AO66" s="93">
        <f t="shared" si="5"/>
        <v>24</v>
      </c>
      <c r="AP66" s="99"/>
      <c r="AQ66" s="99"/>
      <c r="AR66" s="95">
        <f t="shared" si="19"/>
        <v>24</v>
      </c>
      <c r="AS66">
        <f t="shared" si="6"/>
        <v>24</v>
      </c>
      <c r="AT66" t="b">
        <f t="shared" si="1"/>
        <v>1</v>
      </c>
    </row>
    <row r="67" spans="1:49" ht="14.1" customHeight="1">
      <c r="A67" s="89">
        <v>61</v>
      </c>
      <c r="B67" s="99" t="s">
        <v>39</v>
      </c>
      <c r="C67" s="99" t="s">
        <v>70</v>
      </c>
      <c r="D67" s="100" t="s">
        <v>221</v>
      </c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93">
        <f t="shared" si="2"/>
        <v>0</v>
      </c>
      <c r="Q67" s="99"/>
      <c r="R67" s="99"/>
      <c r="S67" s="99"/>
      <c r="T67" s="99"/>
      <c r="U67" s="99"/>
      <c r="V67" s="99"/>
      <c r="W67" s="99"/>
      <c r="X67" s="99">
        <v>2</v>
      </c>
      <c r="Y67" s="99">
        <v>2</v>
      </c>
      <c r="Z67" s="99">
        <v>2</v>
      </c>
      <c r="AA67" s="99">
        <v>2</v>
      </c>
      <c r="AB67" s="93">
        <f t="shared" si="3"/>
        <v>8</v>
      </c>
      <c r="AC67" s="101"/>
      <c r="AD67" s="101"/>
      <c r="AE67" s="101"/>
      <c r="AF67" s="101"/>
      <c r="AG67" s="101"/>
      <c r="AH67" s="101"/>
      <c r="AI67" s="101">
        <v>2</v>
      </c>
      <c r="AJ67" s="101">
        <v>2</v>
      </c>
      <c r="AK67" s="101">
        <v>2</v>
      </c>
      <c r="AL67" s="101">
        <v>2</v>
      </c>
      <c r="AM67" s="101">
        <v>2</v>
      </c>
      <c r="AN67" s="93">
        <f t="shared" si="4"/>
        <v>10</v>
      </c>
      <c r="AO67" s="93">
        <f t="shared" si="5"/>
        <v>18</v>
      </c>
      <c r="AP67" s="99"/>
      <c r="AQ67" s="99">
        <v>6</v>
      </c>
      <c r="AR67" s="95">
        <f t="shared" si="19"/>
        <v>24</v>
      </c>
      <c r="AS67">
        <f t="shared" si="6"/>
        <v>18</v>
      </c>
      <c r="AT67" t="b">
        <f t="shared" si="1"/>
        <v>1</v>
      </c>
    </row>
    <row r="68" spans="1:49" ht="14.1" customHeight="1">
      <c r="A68" s="89">
        <v>62</v>
      </c>
      <c r="B68" s="111" t="s">
        <v>113</v>
      </c>
      <c r="C68" s="111" t="s">
        <v>114</v>
      </c>
      <c r="D68" s="109" t="s">
        <v>222</v>
      </c>
      <c r="E68" s="109"/>
      <c r="F68" s="109"/>
      <c r="G68" s="109"/>
      <c r="H68" s="109"/>
      <c r="I68" s="109"/>
      <c r="J68" s="109"/>
      <c r="K68" s="109"/>
      <c r="L68" s="109"/>
      <c r="M68" s="109"/>
      <c r="N68" s="109">
        <v>2</v>
      </c>
      <c r="O68" s="109">
        <v>2</v>
      </c>
      <c r="P68" s="112">
        <f t="shared" si="2"/>
        <v>4</v>
      </c>
      <c r="Q68" s="109"/>
      <c r="R68" s="109"/>
      <c r="S68" s="113"/>
      <c r="T68" s="109"/>
      <c r="U68" s="109"/>
      <c r="V68" s="109"/>
      <c r="W68" s="109"/>
      <c r="X68" s="109"/>
      <c r="Y68" s="109"/>
      <c r="Z68" s="109"/>
      <c r="AA68" s="109"/>
      <c r="AB68" s="112">
        <f t="shared" si="3"/>
        <v>0</v>
      </c>
      <c r="AC68" s="224">
        <v>2</v>
      </c>
      <c r="AD68" s="224">
        <v>2</v>
      </c>
      <c r="AE68" s="224">
        <v>2</v>
      </c>
      <c r="AF68" s="224">
        <v>2</v>
      </c>
      <c r="AG68" s="224">
        <v>2</v>
      </c>
      <c r="AH68" s="224">
        <v>2</v>
      </c>
      <c r="AI68" s="224">
        <v>2</v>
      </c>
      <c r="AJ68" s="224"/>
      <c r="AK68" s="224"/>
      <c r="AL68" s="224"/>
      <c r="AM68" s="224"/>
      <c r="AN68" s="145">
        <f t="shared" si="4"/>
        <v>14</v>
      </c>
      <c r="AO68" s="145">
        <f t="shared" si="5"/>
        <v>18</v>
      </c>
      <c r="AP68" s="188"/>
      <c r="AQ68" s="111">
        <v>6</v>
      </c>
      <c r="AR68" s="187">
        <f t="shared" si="19"/>
        <v>24</v>
      </c>
      <c r="AS68">
        <f t="shared" si="6"/>
        <v>18</v>
      </c>
      <c r="AT68" t="b">
        <f t="shared" si="1"/>
        <v>1</v>
      </c>
    </row>
    <row r="69" spans="1:49" ht="14.1" customHeight="1">
      <c r="A69" s="89">
        <v>63</v>
      </c>
      <c r="B69" s="171" t="s">
        <v>121</v>
      </c>
      <c r="C69" s="171" t="s">
        <v>122</v>
      </c>
      <c r="D69" s="172" t="s">
        <v>222</v>
      </c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3">
        <f t="shared" si="2"/>
        <v>0</v>
      </c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3">
        <f t="shared" si="3"/>
        <v>0</v>
      </c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>
        <v>2</v>
      </c>
      <c r="AN69" s="186">
        <f t="shared" si="4"/>
        <v>2</v>
      </c>
      <c r="AO69" s="186">
        <f t="shared" si="5"/>
        <v>2</v>
      </c>
      <c r="AP69" s="189"/>
      <c r="AQ69" s="189"/>
      <c r="AR69" s="187">
        <f t="shared" si="19"/>
        <v>2</v>
      </c>
      <c r="AS69">
        <f t="shared" si="6"/>
        <v>2</v>
      </c>
      <c r="AT69" t="b">
        <f t="shared" si="1"/>
        <v>1</v>
      </c>
    </row>
    <row r="70" spans="1:49" ht="14.1" customHeight="1">
      <c r="A70" s="89">
        <v>64</v>
      </c>
      <c r="B70" s="170" t="s">
        <v>111</v>
      </c>
      <c r="C70" s="170" t="s">
        <v>112</v>
      </c>
      <c r="D70" s="113" t="s">
        <v>222</v>
      </c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>
        <f t="shared" si="2"/>
        <v>0</v>
      </c>
      <c r="Q70" s="172"/>
      <c r="R70" s="172"/>
      <c r="S70" s="172"/>
      <c r="T70" s="172"/>
      <c r="U70" s="172"/>
      <c r="V70" s="172"/>
      <c r="W70" s="172"/>
      <c r="X70" s="172"/>
      <c r="Y70" s="172">
        <v>2</v>
      </c>
      <c r="Z70" s="172">
        <v>2</v>
      </c>
      <c r="AA70" s="172">
        <v>2</v>
      </c>
      <c r="AB70" s="173">
        <f t="shared" si="3"/>
        <v>6</v>
      </c>
      <c r="AC70" s="225"/>
      <c r="AD70" s="225"/>
      <c r="AE70" s="225"/>
      <c r="AF70" s="225"/>
      <c r="AG70" s="225"/>
      <c r="AH70" s="225"/>
      <c r="AI70" s="225"/>
      <c r="AJ70" s="225"/>
      <c r="AK70" s="225"/>
      <c r="AL70" s="225"/>
      <c r="AM70" s="225"/>
      <c r="AN70" s="186">
        <f t="shared" si="4"/>
        <v>0</v>
      </c>
      <c r="AO70" s="186">
        <f t="shared" si="5"/>
        <v>6</v>
      </c>
      <c r="AP70" s="189"/>
      <c r="AQ70" s="189"/>
      <c r="AR70" s="187">
        <f t="shared" si="19"/>
        <v>6</v>
      </c>
      <c r="AS70">
        <f t="shared" si="6"/>
        <v>6</v>
      </c>
      <c r="AT70" t="b">
        <f t="shared" si="1"/>
        <v>1</v>
      </c>
    </row>
    <row r="71" spans="1:49" ht="14.1" customHeight="1">
      <c r="A71" s="89">
        <v>65</v>
      </c>
      <c r="B71" s="128" t="s">
        <v>29</v>
      </c>
      <c r="C71" s="128" t="s">
        <v>66</v>
      </c>
      <c r="D71" s="135" t="s">
        <v>222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53">
        <f t="shared" si="2"/>
        <v>0</v>
      </c>
      <c r="Q71" s="136">
        <v>2</v>
      </c>
      <c r="R71" s="136">
        <v>2</v>
      </c>
      <c r="S71" s="136">
        <v>2</v>
      </c>
      <c r="T71" s="136"/>
      <c r="U71" s="136"/>
      <c r="V71" s="136"/>
      <c r="W71" s="136"/>
      <c r="X71" s="136"/>
      <c r="Y71" s="136"/>
      <c r="Z71" s="136"/>
      <c r="AA71" s="136"/>
      <c r="AB71" s="153">
        <f t="shared" si="3"/>
        <v>6</v>
      </c>
      <c r="AC71" s="223"/>
      <c r="AD71" s="223"/>
      <c r="AE71" s="223"/>
      <c r="AF71" s="223"/>
      <c r="AG71" s="223"/>
      <c r="AH71" s="223"/>
      <c r="AI71" s="223"/>
      <c r="AJ71" s="223"/>
      <c r="AK71" s="223"/>
      <c r="AL71" s="223"/>
      <c r="AM71" s="223"/>
      <c r="AN71" s="94">
        <f t="shared" si="4"/>
        <v>0</v>
      </c>
      <c r="AO71" s="94">
        <f t="shared" si="5"/>
        <v>6</v>
      </c>
      <c r="AP71" s="128"/>
      <c r="AQ71" s="128"/>
      <c r="AR71" s="134">
        <f t="shared" si="19"/>
        <v>6</v>
      </c>
      <c r="AS71">
        <f t="shared" si="6"/>
        <v>6</v>
      </c>
      <c r="AT71" t="b">
        <f t="shared" si="1"/>
        <v>1</v>
      </c>
    </row>
    <row r="72" spans="1:49" ht="14.1" customHeight="1">
      <c r="A72" s="89">
        <v>66</v>
      </c>
      <c r="B72" s="128" t="s">
        <v>115</v>
      </c>
      <c r="C72" s="128" t="s">
        <v>116</v>
      </c>
      <c r="D72" s="135" t="s">
        <v>222</v>
      </c>
      <c r="E72" s="136">
        <v>2</v>
      </c>
      <c r="F72" s="136">
        <v>2</v>
      </c>
      <c r="G72" s="136">
        <v>2</v>
      </c>
      <c r="H72" s="136"/>
      <c r="I72" s="136"/>
      <c r="J72" s="136"/>
      <c r="K72" s="136"/>
      <c r="L72" s="136"/>
      <c r="M72" s="136"/>
      <c r="N72" s="136"/>
      <c r="O72" s="136"/>
      <c r="P72" s="153">
        <f t="shared" si="2"/>
        <v>6</v>
      </c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53">
        <f t="shared" si="3"/>
        <v>0</v>
      </c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  <c r="AM72" s="223"/>
      <c r="AN72" s="94">
        <f t="shared" si="4"/>
        <v>0</v>
      </c>
      <c r="AO72" s="94">
        <f t="shared" si="5"/>
        <v>6</v>
      </c>
      <c r="AP72" s="128"/>
      <c r="AQ72" s="128"/>
      <c r="AR72" s="134">
        <f t="shared" si="19"/>
        <v>6</v>
      </c>
      <c r="AS72">
        <f t="shared" si="6"/>
        <v>6</v>
      </c>
      <c r="AT72" t="b">
        <f t="shared" si="1"/>
        <v>1</v>
      </c>
    </row>
    <row r="73" spans="1:49" ht="14.1" customHeight="1">
      <c r="A73" s="89">
        <v>67</v>
      </c>
      <c r="B73" s="128" t="s">
        <v>117</v>
      </c>
      <c r="C73" s="128" t="s">
        <v>118</v>
      </c>
      <c r="D73" s="135" t="s">
        <v>222</v>
      </c>
      <c r="E73" s="136"/>
      <c r="F73" s="136"/>
      <c r="G73" s="136"/>
      <c r="H73" s="136">
        <v>2</v>
      </c>
      <c r="I73" s="136">
        <v>2</v>
      </c>
      <c r="J73" s="136">
        <v>2</v>
      </c>
      <c r="K73" s="136"/>
      <c r="L73" s="136"/>
      <c r="M73" s="136"/>
      <c r="N73" s="136"/>
      <c r="O73" s="136"/>
      <c r="P73" s="153">
        <f t="shared" si="2"/>
        <v>6</v>
      </c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53">
        <f t="shared" si="3"/>
        <v>0</v>
      </c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  <c r="AM73" s="223"/>
      <c r="AN73" s="94">
        <f t="shared" si="4"/>
        <v>0</v>
      </c>
      <c r="AO73" s="94">
        <f t="shared" si="5"/>
        <v>6</v>
      </c>
      <c r="AP73" s="128"/>
      <c r="AQ73" s="128"/>
      <c r="AR73" s="134">
        <f t="shared" si="19"/>
        <v>6</v>
      </c>
      <c r="AS73">
        <f t="shared" si="6"/>
        <v>6</v>
      </c>
      <c r="AT73" t="b">
        <f t="shared" si="1"/>
        <v>1</v>
      </c>
    </row>
    <row r="74" spans="1:49" ht="14.1" customHeight="1">
      <c r="A74" s="89">
        <v>68</v>
      </c>
      <c r="B74" s="128" t="s">
        <v>250</v>
      </c>
      <c r="C74" s="128" t="s">
        <v>249</v>
      </c>
      <c r="D74" s="135" t="s">
        <v>222</v>
      </c>
      <c r="E74" s="136"/>
      <c r="F74" s="136"/>
      <c r="G74" s="136"/>
      <c r="H74" s="136"/>
      <c r="I74" s="136"/>
      <c r="J74" s="136"/>
      <c r="K74" s="136">
        <v>2</v>
      </c>
      <c r="L74" s="136">
        <v>2</v>
      </c>
      <c r="M74" s="136">
        <v>2</v>
      </c>
      <c r="N74" s="136"/>
      <c r="O74" s="136"/>
      <c r="P74" s="153">
        <f t="shared" si="2"/>
        <v>6</v>
      </c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53">
        <f t="shared" si="3"/>
        <v>0</v>
      </c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  <c r="AM74" s="223"/>
      <c r="AN74" s="94">
        <f t="shared" si="4"/>
        <v>0</v>
      </c>
      <c r="AO74" s="94">
        <f t="shared" si="5"/>
        <v>6</v>
      </c>
      <c r="AP74" s="128"/>
      <c r="AQ74" s="128"/>
      <c r="AR74" s="134">
        <f t="shared" si="19"/>
        <v>6</v>
      </c>
      <c r="AS74">
        <f t="shared" si="6"/>
        <v>6</v>
      </c>
      <c r="AT74" t="b">
        <f t="shared" si="1"/>
        <v>1</v>
      </c>
    </row>
    <row r="75" spans="1:49" ht="14.1" customHeight="1">
      <c r="A75" s="89">
        <v>69</v>
      </c>
      <c r="B75" s="153" t="s">
        <v>234</v>
      </c>
      <c r="C75" s="153" t="s">
        <v>235</v>
      </c>
      <c r="D75" s="135" t="s">
        <v>222</v>
      </c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53">
        <f t="shared" si="2"/>
        <v>0</v>
      </c>
      <c r="Q75" s="136"/>
      <c r="R75" s="136"/>
      <c r="S75" s="136"/>
      <c r="T75" s="136">
        <v>2</v>
      </c>
      <c r="U75" s="136">
        <v>2</v>
      </c>
      <c r="V75" s="136">
        <v>2</v>
      </c>
      <c r="W75" s="136">
        <v>2</v>
      </c>
      <c r="X75" s="136">
        <v>2</v>
      </c>
      <c r="Y75" s="136"/>
      <c r="Z75" s="136"/>
      <c r="AA75" s="136"/>
      <c r="AB75" s="153">
        <f t="shared" si="3"/>
        <v>10</v>
      </c>
      <c r="AC75" s="223"/>
      <c r="AD75" s="223"/>
      <c r="AE75" s="223"/>
      <c r="AF75" s="223"/>
      <c r="AG75" s="223"/>
      <c r="AH75" s="223"/>
      <c r="AI75" s="223"/>
      <c r="AJ75" s="223"/>
      <c r="AK75" s="223"/>
      <c r="AL75" s="223"/>
      <c r="AM75" s="223"/>
      <c r="AN75" s="94">
        <f t="shared" si="4"/>
        <v>0</v>
      </c>
      <c r="AO75" s="94">
        <f t="shared" si="5"/>
        <v>10</v>
      </c>
      <c r="AP75" s="128"/>
      <c r="AQ75" s="128"/>
      <c r="AR75" s="134">
        <f t="shared" si="19"/>
        <v>10</v>
      </c>
      <c r="AS75">
        <f t="shared" si="6"/>
        <v>10</v>
      </c>
      <c r="AT75" t="b">
        <f t="shared" si="1"/>
        <v>1</v>
      </c>
    </row>
    <row r="76" spans="1:49" ht="14.1" customHeight="1">
      <c r="A76" s="89">
        <v>70</v>
      </c>
      <c r="B76" s="128" t="s">
        <v>241</v>
      </c>
      <c r="C76" s="128" t="s">
        <v>238</v>
      </c>
      <c r="D76" s="155" t="s">
        <v>222</v>
      </c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53">
        <f t="shared" si="2"/>
        <v>0</v>
      </c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53">
        <f t="shared" si="3"/>
        <v>0</v>
      </c>
      <c r="AC76" s="223"/>
      <c r="AD76" s="223"/>
      <c r="AE76" s="223"/>
      <c r="AF76" s="223"/>
      <c r="AG76" s="223"/>
      <c r="AH76" s="223"/>
      <c r="AI76" s="223"/>
      <c r="AJ76" s="223">
        <v>2</v>
      </c>
      <c r="AK76" s="223">
        <v>2</v>
      </c>
      <c r="AL76" s="223">
        <v>2</v>
      </c>
      <c r="AM76" s="223"/>
      <c r="AN76" s="94">
        <f t="shared" si="4"/>
        <v>6</v>
      </c>
      <c r="AO76" s="94">
        <f t="shared" si="5"/>
        <v>6</v>
      </c>
      <c r="AP76" s="128"/>
      <c r="AQ76" s="128"/>
      <c r="AR76" s="134">
        <f t="shared" si="19"/>
        <v>6</v>
      </c>
      <c r="AS76">
        <f t="shared" si="6"/>
        <v>6</v>
      </c>
      <c r="AT76" t="b">
        <f t="shared" si="1"/>
        <v>1</v>
      </c>
    </row>
    <row r="77" spans="1:49" ht="14.1" customHeight="1">
      <c r="A77" s="89">
        <v>71</v>
      </c>
      <c r="B77" s="93" t="s">
        <v>111</v>
      </c>
      <c r="C77" s="93" t="s">
        <v>112</v>
      </c>
      <c r="D77" s="92" t="s">
        <v>280</v>
      </c>
      <c r="E77" s="96">
        <v>2</v>
      </c>
      <c r="F77" s="96">
        <v>2</v>
      </c>
      <c r="G77" s="96">
        <v>2</v>
      </c>
      <c r="H77" s="96">
        <v>2</v>
      </c>
      <c r="I77" s="96"/>
      <c r="J77" s="96"/>
      <c r="K77" s="96"/>
      <c r="L77" s="96"/>
      <c r="M77" s="96"/>
      <c r="N77" s="96"/>
      <c r="O77" s="96"/>
      <c r="P77" s="93">
        <f t="shared" si="2"/>
        <v>8</v>
      </c>
      <c r="Q77" s="223"/>
      <c r="R77" s="223"/>
      <c r="S77" s="223"/>
      <c r="T77" s="223"/>
      <c r="U77" s="223"/>
      <c r="V77" s="223"/>
      <c r="W77" s="223"/>
      <c r="X77" s="223"/>
      <c r="Y77" s="223"/>
      <c r="Z77" s="223"/>
      <c r="AA77" s="223"/>
      <c r="AB77" s="93">
        <f t="shared" si="3"/>
        <v>0</v>
      </c>
      <c r="AC77" s="96"/>
      <c r="AD77" s="96"/>
      <c r="AE77" s="96"/>
      <c r="AF77" s="107">
        <v>2</v>
      </c>
      <c r="AG77" s="108">
        <v>2</v>
      </c>
      <c r="AH77" s="96">
        <v>2</v>
      </c>
      <c r="AI77" s="92">
        <v>2</v>
      </c>
      <c r="AJ77" s="193">
        <v>2</v>
      </c>
      <c r="AK77" s="92"/>
      <c r="AL77" s="92"/>
      <c r="AM77" s="92"/>
      <c r="AN77" s="93">
        <f t="shared" si="4"/>
        <v>10</v>
      </c>
      <c r="AO77" s="93">
        <f t="shared" si="5"/>
        <v>18</v>
      </c>
      <c r="AP77" s="93"/>
      <c r="AQ77" s="93">
        <v>6</v>
      </c>
      <c r="AR77" s="95">
        <f t="shared" si="19"/>
        <v>24</v>
      </c>
      <c r="AS77">
        <f t="shared" si="6"/>
        <v>18</v>
      </c>
      <c r="AT77" t="b">
        <f t="shared" si="1"/>
        <v>1</v>
      </c>
    </row>
    <row r="78" spans="1:49" ht="14.1" customHeight="1">
      <c r="A78" s="89">
        <v>72</v>
      </c>
      <c r="B78" s="93" t="s">
        <v>42</v>
      </c>
      <c r="C78" s="93" t="s">
        <v>72</v>
      </c>
      <c r="D78" s="92" t="s">
        <v>280</v>
      </c>
      <c r="E78" s="96"/>
      <c r="F78" s="96"/>
      <c r="G78" s="96"/>
      <c r="H78" s="96"/>
      <c r="I78" s="107"/>
      <c r="J78" s="110"/>
      <c r="K78" s="110"/>
      <c r="L78" s="98">
        <v>2</v>
      </c>
      <c r="M78" s="98">
        <v>2</v>
      </c>
      <c r="N78" s="98">
        <v>2</v>
      </c>
      <c r="O78" s="98">
        <v>2</v>
      </c>
      <c r="P78" s="93">
        <f t="shared" si="2"/>
        <v>8</v>
      </c>
      <c r="Q78" s="223">
        <v>2</v>
      </c>
      <c r="R78" s="223">
        <v>2</v>
      </c>
      <c r="S78" s="223">
        <v>2</v>
      </c>
      <c r="T78" s="223">
        <v>2</v>
      </c>
      <c r="U78" s="223">
        <v>2</v>
      </c>
      <c r="V78" s="223"/>
      <c r="W78" s="223"/>
      <c r="X78" s="223"/>
      <c r="Y78" s="223"/>
      <c r="Z78" s="223"/>
      <c r="AA78" s="223"/>
      <c r="AB78" s="93">
        <f t="shared" si="3"/>
        <v>10</v>
      </c>
      <c r="AC78" s="96"/>
      <c r="AD78" s="96"/>
      <c r="AE78" s="96"/>
      <c r="AF78" s="96"/>
      <c r="AG78" s="96"/>
      <c r="AH78" s="107"/>
      <c r="AI78" s="107"/>
      <c r="AJ78" s="107"/>
      <c r="AK78" s="107"/>
      <c r="AL78" s="107"/>
      <c r="AM78" s="107"/>
      <c r="AN78" s="93">
        <f t="shared" si="4"/>
        <v>0</v>
      </c>
      <c r="AO78" s="93">
        <f t="shared" si="5"/>
        <v>18</v>
      </c>
      <c r="AP78" s="93"/>
      <c r="AQ78" s="93">
        <v>6</v>
      </c>
      <c r="AR78" s="95">
        <f t="shared" si="19"/>
        <v>24</v>
      </c>
      <c r="AS78">
        <f t="shared" si="6"/>
        <v>18</v>
      </c>
      <c r="AT78" t="b">
        <f t="shared" si="1"/>
        <v>1</v>
      </c>
    </row>
    <row r="79" spans="1:49" ht="14.1" customHeight="1">
      <c r="A79" s="89">
        <v>73</v>
      </c>
      <c r="B79" s="93" t="s">
        <v>43</v>
      </c>
      <c r="C79" s="93" t="s">
        <v>73</v>
      </c>
      <c r="D79" s="92" t="s">
        <v>280</v>
      </c>
      <c r="E79" s="96"/>
      <c r="F79" s="96"/>
      <c r="G79" s="96"/>
      <c r="H79" s="96"/>
      <c r="I79" s="96">
        <v>2</v>
      </c>
      <c r="J79" s="98">
        <v>2</v>
      </c>
      <c r="K79" s="98">
        <v>2</v>
      </c>
      <c r="L79" s="175"/>
      <c r="M79" s="98"/>
      <c r="N79" s="98"/>
      <c r="O79" s="98"/>
      <c r="P79" s="93">
        <f t="shared" si="2"/>
        <v>6</v>
      </c>
      <c r="Q79" s="223"/>
      <c r="R79" s="223"/>
      <c r="S79" s="223"/>
      <c r="T79" s="223"/>
      <c r="U79" s="224"/>
      <c r="V79" s="224"/>
      <c r="W79" s="224"/>
      <c r="X79" s="224"/>
      <c r="Y79" s="224"/>
      <c r="Z79" s="224"/>
      <c r="AA79" s="224"/>
      <c r="AB79" s="93">
        <f t="shared" si="3"/>
        <v>0</v>
      </c>
      <c r="AC79" s="96">
        <v>2</v>
      </c>
      <c r="AD79" s="97">
        <v>2</v>
      </c>
      <c r="AE79" s="96">
        <v>2</v>
      </c>
      <c r="AF79" s="96"/>
      <c r="AG79" s="96"/>
      <c r="AH79" s="96"/>
      <c r="AI79" s="96"/>
      <c r="AJ79" s="193">
        <v>0</v>
      </c>
      <c r="AK79" s="96">
        <v>2</v>
      </c>
      <c r="AL79" s="98">
        <v>2</v>
      </c>
      <c r="AM79" s="98">
        <v>2</v>
      </c>
      <c r="AN79" s="93">
        <f t="shared" si="4"/>
        <v>12</v>
      </c>
      <c r="AO79" s="93">
        <f t="shared" si="5"/>
        <v>18</v>
      </c>
      <c r="AP79" s="93"/>
      <c r="AQ79" s="93">
        <v>6</v>
      </c>
      <c r="AR79" s="95">
        <f t="shared" si="19"/>
        <v>24</v>
      </c>
      <c r="AS79">
        <f t="shared" si="6"/>
        <v>18</v>
      </c>
      <c r="AT79" t="b">
        <f t="shared" si="1"/>
        <v>1</v>
      </c>
    </row>
    <row r="80" spans="1:49" ht="14.1" customHeight="1">
      <c r="A80" s="89">
        <v>74</v>
      </c>
      <c r="B80" s="94" t="s">
        <v>29</v>
      </c>
      <c r="C80" s="94" t="s">
        <v>66</v>
      </c>
      <c r="D80" s="92" t="s">
        <v>280</v>
      </c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94">
        <f t="shared" si="2"/>
        <v>0</v>
      </c>
      <c r="Q80" s="223"/>
      <c r="R80" s="223"/>
      <c r="S80" s="223"/>
      <c r="T80" s="223"/>
      <c r="U80" s="223"/>
      <c r="V80" s="223">
        <v>2</v>
      </c>
      <c r="W80" s="223">
        <v>2</v>
      </c>
      <c r="X80" s="223">
        <v>2</v>
      </c>
      <c r="Y80" s="223">
        <v>2</v>
      </c>
      <c r="Z80" s="223">
        <v>2</v>
      </c>
      <c r="AA80" s="223">
        <v>2</v>
      </c>
      <c r="AB80" s="145">
        <f t="shared" si="3"/>
        <v>12</v>
      </c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94">
        <f t="shared" si="4"/>
        <v>0</v>
      </c>
      <c r="AO80" s="94">
        <f t="shared" si="5"/>
        <v>12</v>
      </c>
      <c r="AP80" s="94"/>
      <c r="AQ80" s="94">
        <v>6</v>
      </c>
      <c r="AR80" s="134">
        <f t="shared" si="19"/>
        <v>18</v>
      </c>
      <c r="AS80" s="68">
        <f t="shared" si="6"/>
        <v>12</v>
      </c>
      <c r="AT80" t="b">
        <f t="shared" si="1"/>
        <v>1</v>
      </c>
      <c r="AU80">
        <v>6</v>
      </c>
      <c r="AV80">
        <v>33</v>
      </c>
      <c r="AW80">
        <f>AU80*AV80</f>
        <v>198</v>
      </c>
    </row>
    <row r="81" spans="1:46" ht="14.1" customHeight="1">
      <c r="A81" s="89">
        <v>75</v>
      </c>
      <c r="B81" s="99" t="s">
        <v>20</v>
      </c>
      <c r="C81" s="99" t="s">
        <v>57</v>
      </c>
      <c r="D81" s="100" t="s">
        <v>216</v>
      </c>
      <c r="E81" s="101">
        <v>2</v>
      </c>
      <c r="F81" s="101">
        <v>2</v>
      </c>
      <c r="G81" s="101">
        <v>2</v>
      </c>
      <c r="H81" s="101">
        <v>2</v>
      </c>
      <c r="I81" s="101">
        <v>2</v>
      </c>
      <c r="J81" s="175"/>
      <c r="K81" s="101">
        <v>2</v>
      </c>
      <c r="L81" s="101">
        <v>2</v>
      </c>
      <c r="M81" s="101">
        <v>2</v>
      </c>
      <c r="N81" s="101">
        <v>2</v>
      </c>
      <c r="O81" s="175"/>
      <c r="P81" s="93">
        <f t="shared" si="2"/>
        <v>18</v>
      </c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93">
        <f t="shared" si="3"/>
        <v>0</v>
      </c>
      <c r="AC81" s="101"/>
      <c r="AD81" s="101"/>
      <c r="AE81" s="101"/>
      <c r="AF81" s="101"/>
      <c r="AG81" s="101"/>
      <c r="AH81" s="175"/>
      <c r="AI81" s="175"/>
      <c r="AJ81" s="101">
        <v>2</v>
      </c>
      <c r="AK81" s="101">
        <v>2</v>
      </c>
      <c r="AL81" s="101">
        <v>2</v>
      </c>
      <c r="AM81" s="175"/>
      <c r="AN81" s="93">
        <f t="shared" si="4"/>
        <v>6</v>
      </c>
      <c r="AO81" s="93">
        <f t="shared" si="5"/>
        <v>24</v>
      </c>
      <c r="AP81" s="99"/>
      <c r="AQ81" s="99"/>
      <c r="AR81" s="95">
        <f t="shared" si="0"/>
        <v>24</v>
      </c>
      <c r="AS81">
        <f t="shared" si="6"/>
        <v>24</v>
      </c>
      <c r="AT81" t="b">
        <f t="shared" si="1"/>
        <v>1</v>
      </c>
    </row>
    <row r="82" spans="1:46" ht="14.1" customHeight="1">
      <c r="A82" s="89">
        <v>76</v>
      </c>
      <c r="B82" s="99" t="s">
        <v>21</v>
      </c>
      <c r="C82" s="99" t="s">
        <v>58</v>
      </c>
      <c r="D82" s="100" t="s">
        <v>216</v>
      </c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93">
        <f t="shared" si="2"/>
        <v>0</v>
      </c>
      <c r="Q82" s="101">
        <v>2</v>
      </c>
      <c r="R82" s="101">
        <v>2</v>
      </c>
      <c r="S82" s="101">
        <v>2</v>
      </c>
      <c r="T82" s="101">
        <v>2</v>
      </c>
      <c r="U82" s="97">
        <v>2</v>
      </c>
      <c r="V82" s="101">
        <v>2</v>
      </c>
      <c r="W82" s="101">
        <v>2</v>
      </c>
      <c r="X82" s="101">
        <v>2</v>
      </c>
      <c r="Y82" s="101">
        <v>2</v>
      </c>
      <c r="Z82" s="101">
        <v>0</v>
      </c>
      <c r="AA82" s="101">
        <v>0</v>
      </c>
      <c r="AB82" s="93">
        <f t="shared" si="3"/>
        <v>18</v>
      </c>
      <c r="AC82" s="101">
        <v>2</v>
      </c>
      <c r="AD82" s="101">
        <v>2</v>
      </c>
      <c r="AE82" s="101">
        <v>2</v>
      </c>
      <c r="AF82" s="101">
        <v>2</v>
      </c>
      <c r="AG82" s="101">
        <v>2</v>
      </c>
      <c r="AH82" s="101"/>
      <c r="AI82" s="101"/>
      <c r="AJ82" s="101"/>
      <c r="AK82" s="101"/>
      <c r="AL82" s="101"/>
      <c r="AM82" s="101"/>
      <c r="AN82" s="93">
        <f t="shared" si="4"/>
        <v>10</v>
      </c>
      <c r="AO82" s="93">
        <f t="shared" si="5"/>
        <v>28</v>
      </c>
      <c r="AP82" s="99"/>
      <c r="AQ82" s="99">
        <v>6</v>
      </c>
      <c r="AR82" s="95">
        <f t="shared" si="0"/>
        <v>34</v>
      </c>
      <c r="AS82">
        <f t="shared" si="6"/>
        <v>28</v>
      </c>
      <c r="AT82" t="b">
        <f t="shared" si="1"/>
        <v>1</v>
      </c>
    </row>
    <row r="83" spans="1:46" ht="14.1" customHeight="1">
      <c r="A83" s="89">
        <v>77</v>
      </c>
      <c r="B83" s="99" t="s">
        <v>292</v>
      </c>
      <c r="C83" s="178" t="s">
        <v>291</v>
      </c>
      <c r="D83" s="100" t="s">
        <v>216</v>
      </c>
      <c r="E83" s="101"/>
      <c r="F83" s="101"/>
      <c r="G83" s="101"/>
      <c r="H83" s="101"/>
      <c r="I83" s="101"/>
      <c r="J83" s="101">
        <v>2</v>
      </c>
      <c r="K83" s="101"/>
      <c r="L83" s="101"/>
      <c r="M83" s="101"/>
      <c r="N83" s="101"/>
      <c r="O83" s="101">
        <v>2</v>
      </c>
      <c r="P83" s="93">
        <f t="shared" si="2"/>
        <v>4</v>
      </c>
      <c r="Q83" s="101"/>
      <c r="R83" s="101"/>
      <c r="S83" s="101"/>
      <c r="T83" s="101"/>
      <c r="U83" s="101"/>
      <c r="V83" s="101"/>
      <c r="W83" s="101"/>
      <c r="X83" s="101"/>
      <c r="Y83" s="101"/>
      <c r="Z83" s="101">
        <v>2</v>
      </c>
      <c r="AA83" s="101">
        <v>2</v>
      </c>
      <c r="AB83" s="93">
        <f t="shared" si="3"/>
        <v>4</v>
      </c>
      <c r="AC83" s="101"/>
      <c r="AD83" s="101"/>
      <c r="AE83" s="101"/>
      <c r="AF83" s="101"/>
      <c r="AG83" s="101"/>
      <c r="AH83" s="101">
        <v>2</v>
      </c>
      <c r="AI83" s="101">
        <v>2</v>
      </c>
      <c r="AJ83" s="101"/>
      <c r="AK83" s="101"/>
      <c r="AL83" s="101"/>
      <c r="AM83" s="101">
        <v>2</v>
      </c>
      <c r="AN83" s="93">
        <f t="shared" si="4"/>
        <v>6</v>
      </c>
      <c r="AO83" s="93">
        <f t="shared" si="5"/>
        <v>14</v>
      </c>
      <c r="AP83" s="99"/>
      <c r="AQ83" s="99"/>
      <c r="AR83" s="95">
        <f t="shared" ref="AR83" si="20">SUM(AO83:AQ83)</f>
        <v>14</v>
      </c>
      <c r="AS83">
        <f t="shared" si="6"/>
        <v>14</v>
      </c>
      <c r="AT83" t="b">
        <f t="shared" si="1"/>
        <v>1</v>
      </c>
    </row>
    <row r="84" spans="1:46" ht="14.1" customHeight="1">
      <c r="A84" s="89">
        <v>78</v>
      </c>
      <c r="B84" s="93" t="s">
        <v>22</v>
      </c>
      <c r="C84" s="93" t="s">
        <v>59</v>
      </c>
      <c r="D84" s="85" t="s">
        <v>217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3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3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3">
        <f t="shared" si="4"/>
        <v>0</v>
      </c>
      <c r="AO84" s="93">
        <f t="shared" si="5"/>
        <v>0</v>
      </c>
      <c r="AP84" s="93"/>
      <c r="AQ84" s="93"/>
      <c r="AR84" s="95">
        <f t="shared" si="0"/>
        <v>0</v>
      </c>
      <c r="AS84">
        <f t="shared" si="6"/>
        <v>0</v>
      </c>
      <c r="AT84" t="b">
        <f t="shared" si="1"/>
        <v>1</v>
      </c>
    </row>
    <row r="85" spans="1:46" ht="14.1" customHeight="1">
      <c r="A85" s="89">
        <v>79</v>
      </c>
      <c r="B85" s="93" t="s">
        <v>23</v>
      </c>
      <c r="C85" s="93" t="s">
        <v>60</v>
      </c>
      <c r="D85" s="85" t="s">
        <v>217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3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3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3">
        <f t="shared" si="4"/>
        <v>0</v>
      </c>
      <c r="AO85" s="93">
        <f t="shared" si="5"/>
        <v>0</v>
      </c>
      <c r="AP85" s="93"/>
      <c r="AQ85" s="93"/>
      <c r="AR85" s="95">
        <f t="shared" si="0"/>
        <v>0</v>
      </c>
      <c r="AS85">
        <f t="shared" si="6"/>
        <v>0</v>
      </c>
      <c r="AT85" t="b">
        <f t="shared" si="1"/>
        <v>1</v>
      </c>
    </row>
    <row r="86" spans="1:46" ht="14.1" customHeight="1">
      <c r="A86" s="89">
        <v>80</v>
      </c>
      <c r="B86" s="93" t="s">
        <v>24</v>
      </c>
      <c r="C86" s="93" t="s">
        <v>61</v>
      </c>
      <c r="D86" s="85" t="s">
        <v>217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3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3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3">
        <f t="shared" si="4"/>
        <v>0</v>
      </c>
      <c r="AO86" s="93">
        <f t="shared" si="5"/>
        <v>0</v>
      </c>
      <c r="AP86" s="93"/>
      <c r="AQ86" s="93"/>
      <c r="AR86" s="95">
        <f t="shared" si="0"/>
        <v>0</v>
      </c>
      <c r="AS86">
        <f t="shared" si="6"/>
        <v>0</v>
      </c>
      <c r="AT86" t="b">
        <f t="shared" si="1"/>
        <v>1</v>
      </c>
    </row>
    <row r="87" spans="1:46" ht="14.1" customHeight="1">
      <c r="A87" s="89">
        <v>81</v>
      </c>
      <c r="B87" s="94" t="s">
        <v>115</v>
      </c>
      <c r="C87" s="94" t="s">
        <v>116</v>
      </c>
      <c r="D87" s="91" t="s">
        <v>217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3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3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3">
        <f t="shared" si="4"/>
        <v>0</v>
      </c>
      <c r="AO87" s="93">
        <f t="shared" si="5"/>
        <v>0</v>
      </c>
      <c r="AP87" s="93"/>
      <c r="AQ87" s="93"/>
      <c r="AR87" s="95">
        <f t="shared" si="0"/>
        <v>0</v>
      </c>
      <c r="AS87">
        <f t="shared" si="6"/>
        <v>0</v>
      </c>
      <c r="AT87" t="b">
        <f t="shared" si="1"/>
        <v>1</v>
      </c>
    </row>
    <row r="88" spans="1:46" ht="14.1" customHeight="1">
      <c r="A88" s="89">
        <v>82</v>
      </c>
      <c r="B88" s="94" t="s">
        <v>117</v>
      </c>
      <c r="C88" s="94" t="s">
        <v>118</v>
      </c>
      <c r="D88" s="91" t="s">
        <v>217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3"/>
      <c r="Q88" s="96"/>
      <c r="R88" s="96"/>
      <c r="S88" s="96"/>
      <c r="T88" s="96"/>
      <c r="U88" s="96"/>
      <c r="V88" s="96"/>
      <c r="W88" s="98"/>
      <c r="X88" s="96"/>
      <c r="Y88" s="96"/>
      <c r="Z88" s="96"/>
      <c r="AA88" s="96"/>
      <c r="AB88" s="93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3">
        <f t="shared" si="4"/>
        <v>0</v>
      </c>
      <c r="AO88" s="93">
        <f t="shared" si="5"/>
        <v>0</v>
      </c>
      <c r="AP88" s="93"/>
      <c r="AQ88" s="93"/>
      <c r="AR88" s="95">
        <f>SUM(AO88:AQ88)</f>
        <v>0</v>
      </c>
      <c r="AS88">
        <f t="shared" si="6"/>
        <v>0</v>
      </c>
      <c r="AT88" t="b">
        <f t="shared" si="1"/>
        <v>1</v>
      </c>
    </row>
    <row r="89" spans="1:46" ht="14.1" customHeight="1">
      <c r="A89" s="89">
        <v>83</v>
      </c>
      <c r="B89" s="94" t="s">
        <v>250</v>
      </c>
      <c r="C89" s="94" t="s">
        <v>249</v>
      </c>
      <c r="D89" s="91" t="s">
        <v>217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3"/>
      <c r="Q89" s="96"/>
      <c r="R89" s="96"/>
      <c r="S89" s="96"/>
      <c r="T89" s="96"/>
      <c r="U89" s="96"/>
      <c r="V89" s="96"/>
      <c r="W89" s="98"/>
      <c r="X89" s="96"/>
      <c r="Y89" s="96"/>
      <c r="Z89" s="96"/>
      <c r="AA89" s="96"/>
      <c r="AB89" s="93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3">
        <f t="shared" si="4"/>
        <v>0</v>
      </c>
      <c r="AO89" s="93">
        <f t="shared" si="5"/>
        <v>0</v>
      </c>
      <c r="AP89" s="93"/>
      <c r="AQ89" s="93"/>
      <c r="AR89" s="95">
        <f>SUM(AO89:AQ89)</f>
        <v>0</v>
      </c>
      <c r="AS89">
        <f t="shared" si="6"/>
        <v>0</v>
      </c>
      <c r="AT89" t="b">
        <f t="shared" si="1"/>
        <v>1</v>
      </c>
    </row>
    <row r="90" spans="1:46" ht="14.1" customHeight="1" thickBot="1">
      <c r="A90" s="114"/>
      <c r="B90" s="115"/>
      <c r="C90" s="115"/>
      <c r="D90" s="116"/>
      <c r="E90" s="117">
        <f t="shared" ref="E90:O90" si="21">SUM(E7:E89)</f>
        <v>40</v>
      </c>
      <c r="F90" s="117">
        <f t="shared" si="21"/>
        <v>40</v>
      </c>
      <c r="G90" s="117">
        <f t="shared" si="21"/>
        <v>40</v>
      </c>
      <c r="H90" s="117">
        <f t="shared" si="21"/>
        <v>40</v>
      </c>
      <c r="I90" s="117">
        <f t="shared" si="21"/>
        <v>40</v>
      </c>
      <c r="J90" s="117">
        <f t="shared" si="21"/>
        <v>40</v>
      </c>
      <c r="K90" s="117">
        <f t="shared" si="21"/>
        <v>40</v>
      </c>
      <c r="L90" s="117">
        <f t="shared" si="21"/>
        <v>40</v>
      </c>
      <c r="M90" s="117">
        <f t="shared" si="21"/>
        <v>40</v>
      </c>
      <c r="N90" s="117">
        <f t="shared" si="21"/>
        <v>40</v>
      </c>
      <c r="O90" s="117">
        <f t="shared" si="21"/>
        <v>40</v>
      </c>
      <c r="P90" s="118">
        <f>SUM(E90:O90)</f>
        <v>440</v>
      </c>
      <c r="Q90" s="117">
        <f t="shared" ref="Q90:AM90" si="22">SUM(Q7:Q89)</f>
        <v>40</v>
      </c>
      <c r="R90" s="117">
        <f t="shared" si="22"/>
        <v>40</v>
      </c>
      <c r="S90" s="117">
        <f t="shared" si="22"/>
        <v>40</v>
      </c>
      <c r="T90" s="117">
        <f t="shared" si="22"/>
        <v>40</v>
      </c>
      <c r="U90" s="117">
        <f t="shared" si="22"/>
        <v>40</v>
      </c>
      <c r="V90" s="117">
        <f t="shared" si="22"/>
        <v>40</v>
      </c>
      <c r="W90" s="117">
        <f t="shared" si="22"/>
        <v>40</v>
      </c>
      <c r="X90" s="117">
        <f t="shared" si="22"/>
        <v>40</v>
      </c>
      <c r="Y90" s="117">
        <f t="shared" si="22"/>
        <v>40</v>
      </c>
      <c r="Z90" s="117">
        <f t="shared" si="22"/>
        <v>40</v>
      </c>
      <c r="AA90" s="117">
        <f t="shared" si="22"/>
        <v>40</v>
      </c>
      <c r="AB90" s="118">
        <f t="shared" si="22"/>
        <v>440</v>
      </c>
      <c r="AC90" s="117">
        <f t="shared" si="22"/>
        <v>40</v>
      </c>
      <c r="AD90" s="117">
        <f t="shared" si="22"/>
        <v>40</v>
      </c>
      <c r="AE90" s="117">
        <f t="shared" si="22"/>
        <v>40</v>
      </c>
      <c r="AF90" s="117">
        <f t="shared" si="22"/>
        <v>40</v>
      </c>
      <c r="AG90" s="117">
        <f t="shared" si="22"/>
        <v>40</v>
      </c>
      <c r="AH90" s="117">
        <f t="shared" si="22"/>
        <v>40</v>
      </c>
      <c r="AI90" s="117">
        <f t="shared" si="22"/>
        <v>40</v>
      </c>
      <c r="AJ90" s="117">
        <f t="shared" si="22"/>
        <v>40</v>
      </c>
      <c r="AK90" s="117">
        <f t="shared" si="22"/>
        <v>40</v>
      </c>
      <c r="AL90" s="117">
        <f t="shared" si="22"/>
        <v>40</v>
      </c>
      <c r="AM90" s="117">
        <f t="shared" si="22"/>
        <v>40</v>
      </c>
      <c r="AN90" s="118">
        <f>SUM(AN7:AN89)</f>
        <v>440</v>
      </c>
      <c r="AO90" s="119">
        <f>SUM(AO7:AO89)</f>
        <v>1320</v>
      </c>
      <c r="AP90" s="119">
        <f>SUM(AP7:AP89)</f>
        <v>72</v>
      </c>
      <c r="AQ90" s="119">
        <f>SUM(AQ7:AQ89)</f>
        <v>204</v>
      </c>
      <c r="AR90" s="120">
        <f>SUM(AR7:AR89)</f>
        <v>1596</v>
      </c>
      <c r="AS90">
        <f>AO90</f>
        <v>1320</v>
      </c>
      <c r="AT90" t="b">
        <f>AO90=AS90</f>
        <v>1</v>
      </c>
    </row>
    <row r="91" spans="1:46" ht="14.1" customHeight="1" thickTop="1" thickBot="1">
      <c r="A91" s="1"/>
      <c r="B91" s="1"/>
      <c r="C91" s="2"/>
      <c r="D91" s="1"/>
      <c r="P91" s="121">
        <f>SUM(E90:O90)</f>
        <v>440</v>
      </c>
      <c r="AB91" s="122">
        <f>SUM(AB7:AB89)</f>
        <v>440</v>
      </c>
      <c r="AN91" s="123">
        <f>SUM(AN90)</f>
        <v>440</v>
      </c>
      <c r="AQ91" s="124"/>
      <c r="AR91" s="2">
        <f>SUM(AO90:AQ90)</f>
        <v>1596</v>
      </c>
    </row>
    <row r="92" spans="1:46" ht="14.1" customHeight="1">
      <c r="A92" s="1"/>
      <c r="B92" s="1"/>
    </row>
    <row r="93" spans="1:46" ht="14.1" customHeight="1">
      <c r="AH93" t="s">
        <v>307</v>
      </c>
    </row>
    <row r="94" spans="1:46" ht="14.1" customHeight="1">
      <c r="C94" s="2" t="s">
        <v>223</v>
      </c>
      <c r="D94" s="125"/>
      <c r="AH94" t="s">
        <v>364</v>
      </c>
    </row>
    <row r="95" spans="1:46" ht="14.1" customHeight="1">
      <c r="C95" s="126" t="s">
        <v>224</v>
      </c>
      <c r="D95" t="s">
        <v>225</v>
      </c>
      <c r="AQ95" s="124"/>
    </row>
    <row r="96" spans="1:46" ht="14.1" customHeight="1">
      <c r="D96" t="s">
        <v>226</v>
      </c>
    </row>
    <row r="97" spans="34:43" ht="14.1" customHeight="1"/>
    <row r="98" spans="34:43">
      <c r="AH98" t="s">
        <v>365</v>
      </c>
    </row>
    <row r="99" spans="34:43" ht="15.75">
      <c r="AH99" s="146"/>
    </row>
    <row r="100" spans="34:43" ht="15.75">
      <c r="AH100" s="146"/>
    </row>
    <row r="101" spans="34:43" ht="15.75">
      <c r="AH101" s="127"/>
    </row>
    <row r="102" spans="34:43">
      <c r="AH102" s="147"/>
    </row>
    <row r="103" spans="34:43">
      <c r="AH103" s="147"/>
    </row>
    <row r="104" spans="34:43">
      <c r="AH104" s="147"/>
    </row>
    <row r="105" spans="34:43">
      <c r="AH105" s="147"/>
    </row>
    <row r="106" spans="34:43">
      <c r="AQ106" s="148"/>
    </row>
  </sheetData>
  <mergeCells count="16">
    <mergeCell ref="A1:AR1"/>
    <mergeCell ref="A2:AR2"/>
    <mergeCell ref="AO3:AR3"/>
    <mergeCell ref="A4:A6"/>
    <mergeCell ref="B4:B6"/>
    <mergeCell ref="C4:C6"/>
    <mergeCell ref="D4:D6"/>
    <mergeCell ref="E4:O5"/>
    <mergeCell ref="P4:P6"/>
    <mergeCell ref="Q4:AA5"/>
    <mergeCell ref="AB4:AB6"/>
    <mergeCell ref="AC4:AM5"/>
    <mergeCell ref="AN4:AN6"/>
    <mergeCell ref="AO4:AO6"/>
    <mergeCell ref="AP4:AQ4"/>
    <mergeCell ref="AP5:AQ5"/>
  </mergeCells>
  <pageMargins left="0.51181102362204722" right="0.39370078740157483" top="0.47244094488188981" bottom="0.59055118110236227" header="0" footer="0"/>
  <pageSetup paperSize="5" scale="80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6"/>
  <sheetViews>
    <sheetView tabSelected="1" zoomScale="115" zoomScaleNormal="115" workbookViewId="0">
      <selection sqref="A1:AK1"/>
    </sheetView>
  </sheetViews>
  <sheetFormatPr defaultRowHeight="15"/>
  <cols>
    <col min="1" max="1" width="3" customWidth="1"/>
    <col min="2" max="2" width="3.140625" customWidth="1"/>
    <col min="3" max="3" width="3.85546875" customWidth="1"/>
    <col min="4" max="4" width="8" customWidth="1"/>
    <col min="5" max="36" width="3.140625" customWidth="1"/>
    <col min="37" max="37" width="3.7109375" customWidth="1"/>
    <col min="39" max="39" width="5.140625" customWidth="1"/>
    <col min="40" max="40" width="12.5703125" customWidth="1"/>
    <col min="43" max="43" width="13.42578125" customWidth="1"/>
  </cols>
  <sheetData>
    <row r="1" spans="1:54" ht="15.75">
      <c r="A1" s="308" t="s">
        <v>366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"/>
    </row>
    <row r="2" spans="1:54" ht="15.75">
      <c r="A2" s="308" t="s">
        <v>95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"/>
    </row>
    <row r="3" spans="1:54" ht="4.5" customHeight="1">
      <c r="A3" s="13"/>
      <c r="B3" s="13"/>
      <c r="C3" s="13"/>
      <c r="D3" s="13"/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16</v>
      </c>
      <c r="Q3" s="14">
        <v>17</v>
      </c>
      <c r="R3" s="14">
        <v>18</v>
      </c>
      <c r="S3" s="14">
        <v>19</v>
      </c>
      <c r="T3" s="14">
        <v>20</v>
      </c>
      <c r="U3" s="14">
        <v>21</v>
      </c>
      <c r="V3" s="14">
        <v>22</v>
      </c>
      <c r="W3" s="14">
        <v>23</v>
      </c>
      <c r="X3" s="14">
        <v>24</v>
      </c>
      <c r="Y3" s="14">
        <v>25</v>
      </c>
      <c r="Z3" s="14">
        <v>26</v>
      </c>
      <c r="AA3" s="14">
        <v>28</v>
      </c>
      <c r="AB3" s="14">
        <v>29</v>
      </c>
      <c r="AC3" s="14">
        <v>30</v>
      </c>
      <c r="AD3" s="14">
        <v>31</v>
      </c>
      <c r="AE3" s="14">
        <v>32</v>
      </c>
      <c r="AF3" s="14">
        <v>33</v>
      </c>
      <c r="AG3" s="14">
        <v>34</v>
      </c>
      <c r="AH3" s="14">
        <v>35</v>
      </c>
      <c r="AI3" s="14">
        <v>36</v>
      </c>
      <c r="AJ3" s="14">
        <v>37</v>
      </c>
      <c r="AK3" s="14">
        <v>38</v>
      </c>
      <c r="AL3" s="12"/>
      <c r="AM3" s="9"/>
    </row>
    <row r="4" spans="1:54" ht="12.75" customHeight="1" thickBot="1">
      <c r="A4" s="179" t="s">
        <v>308</v>
      </c>
      <c r="B4" s="180"/>
      <c r="C4" s="180"/>
      <c r="D4" s="180"/>
      <c r="E4" s="180"/>
      <c r="F4" s="7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8">
        <v>29</v>
      </c>
      <c r="AF4" s="31" t="str">
        <f>VLOOKUP(AE4,$AM$49:$AO$203,2,0)</f>
        <v>HM</v>
      </c>
      <c r="AG4" s="31" t="str">
        <f>VLOOKUP(AE4,$AM$49:$AO$203,3,0)</f>
        <v>Hany Milati, S.Pd</v>
      </c>
      <c r="AH4" s="31"/>
      <c r="AI4" s="31"/>
      <c r="AJ4" s="31"/>
      <c r="AK4" s="31"/>
      <c r="AL4" s="32"/>
      <c r="AM4" s="33"/>
    </row>
    <row r="5" spans="1:54" ht="15" customHeight="1">
      <c r="A5" s="309" t="s">
        <v>89</v>
      </c>
      <c r="B5" s="311" t="s">
        <v>77</v>
      </c>
      <c r="C5" s="313" t="s">
        <v>47</v>
      </c>
      <c r="D5" s="313" t="s">
        <v>78</v>
      </c>
      <c r="E5" s="315" t="s">
        <v>79</v>
      </c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 t="s">
        <v>86</v>
      </c>
      <c r="Q5" s="315"/>
      <c r="R5" s="315"/>
      <c r="S5" s="315"/>
      <c r="T5" s="315"/>
      <c r="U5" s="315"/>
      <c r="V5" s="315"/>
      <c r="W5" s="315"/>
      <c r="X5" s="315"/>
      <c r="Y5" s="315"/>
      <c r="Z5" s="315"/>
      <c r="AA5" s="315" t="s">
        <v>304</v>
      </c>
      <c r="AB5" s="315"/>
      <c r="AC5" s="315"/>
      <c r="AD5" s="315"/>
      <c r="AE5" s="315"/>
      <c r="AF5" s="315"/>
      <c r="AG5" s="315"/>
      <c r="AH5" s="315"/>
      <c r="AI5" s="315"/>
      <c r="AJ5" s="315"/>
      <c r="AK5" s="315"/>
      <c r="AL5" s="3"/>
    </row>
    <row r="6" spans="1:54">
      <c r="A6" s="310"/>
      <c r="B6" s="312"/>
      <c r="C6" s="314"/>
      <c r="D6" s="314"/>
      <c r="E6" s="207" t="s">
        <v>44</v>
      </c>
      <c r="F6" s="77" t="s">
        <v>45</v>
      </c>
      <c r="G6" s="207" t="s">
        <v>46</v>
      </c>
      <c r="H6" s="77" t="s">
        <v>76</v>
      </c>
      <c r="I6" s="77" t="s">
        <v>80</v>
      </c>
      <c r="J6" s="77" t="s">
        <v>81</v>
      </c>
      <c r="K6" s="77" t="s">
        <v>82</v>
      </c>
      <c r="L6" s="77" t="s">
        <v>83</v>
      </c>
      <c r="M6" s="77" t="s">
        <v>84</v>
      </c>
      <c r="N6" s="77" t="s">
        <v>85</v>
      </c>
      <c r="O6" s="77" t="s">
        <v>94</v>
      </c>
      <c r="P6" s="16" t="s">
        <v>44</v>
      </c>
      <c r="Q6" s="16" t="s">
        <v>45</v>
      </c>
      <c r="R6" s="16" t="s">
        <v>46</v>
      </c>
      <c r="S6" s="207" t="s">
        <v>76</v>
      </c>
      <c r="T6" s="16" t="s">
        <v>80</v>
      </c>
      <c r="U6" s="22" t="s">
        <v>81</v>
      </c>
      <c r="V6" s="16" t="s">
        <v>82</v>
      </c>
      <c r="W6" s="16" t="s">
        <v>83</v>
      </c>
      <c r="X6" s="16" t="s">
        <v>84</v>
      </c>
      <c r="Y6" s="16" t="s">
        <v>85</v>
      </c>
      <c r="Z6" s="16" t="s">
        <v>94</v>
      </c>
      <c r="AA6" s="76" t="s">
        <v>44</v>
      </c>
      <c r="AB6" s="76" t="s">
        <v>45</v>
      </c>
      <c r="AC6" s="207" t="s">
        <v>46</v>
      </c>
      <c r="AD6" s="76" t="s">
        <v>76</v>
      </c>
      <c r="AE6" s="76" t="s">
        <v>80</v>
      </c>
      <c r="AF6" s="76" t="s">
        <v>81</v>
      </c>
      <c r="AG6" s="76" t="s">
        <v>82</v>
      </c>
      <c r="AH6" s="76" t="s">
        <v>83</v>
      </c>
      <c r="AI6" s="76" t="s">
        <v>84</v>
      </c>
      <c r="AJ6" s="76" t="s">
        <v>85</v>
      </c>
      <c r="AK6" s="78" t="s">
        <v>94</v>
      </c>
      <c r="AL6" s="3"/>
      <c r="AN6" s="273"/>
    </row>
    <row r="7" spans="1:54">
      <c r="A7" s="310"/>
      <c r="B7" s="312"/>
      <c r="C7" s="314"/>
      <c r="D7" s="314"/>
      <c r="E7" s="316" t="s">
        <v>87</v>
      </c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  <c r="AG7" s="316"/>
      <c r="AH7" s="316"/>
      <c r="AI7" s="316"/>
      <c r="AJ7" s="316"/>
      <c r="AK7" s="317"/>
      <c r="AL7" s="3"/>
    </row>
    <row r="8" spans="1:54">
      <c r="A8" s="310"/>
      <c r="B8" s="312"/>
      <c r="C8" s="314"/>
      <c r="D8" s="314"/>
      <c r="E8" s="16" t="s">
        <v>15</v>
      </c>
      <c r="F8" s="16" t="s">
        <v>74</v>
      </c>
      <c r="G8" s="16" t="s">
        <v>8</v>
      </c>
      <c r="H8" s="16" t="s">
        <v>6</v>
      </c>
      <c r="I8" s="16" t="s">
        <v>17</v>
      </c>
      <c r="J8" s="16" t="s">
        <v>13</v>
      </c>
      <c r="K8" s="16" t="s">
        <v>227</v>
      </c>
      <c r="L8" s="16" t="s">
        <v>137</v>
      </c>
      <c r="M8" s="16" t="s">
        <v>40</v>
      </c>
      <c r="N8" s="16" t="s">
        <v>102</v>
      </c>
      <c r="O8" s="43" t="s">
        <v>231</v>
      </c>
      <c r="P8" s="241" t="s">
        <v>26</v>
      </c>
      <c r="Q8" s="241" t="s">
        <v>28</v>
      </c>
      <c r="R8" s="241" t="s">
        <v>32</v>
      </c>
      <c r="S8" s="241" t="s">
        <v>42</v>
      </c>
      <c r="T8" s="241" t="s">
        <v>21</v>
      </c>
      <c r="U8" s="241" t="s">
        <v>29</v>
      </c>
      <c r="V8" s="241" t="s">
        <v>108</v>
      </c>
      <c r="W8" s="241" t="s">
        <v>98</v>
      </c>
      <c r="X8" s="241" t="s">
        <v>119</v>
      </c>
      <c r="Y8" s="241" t="s">
        <v>25</v>
      </c>
      <c r="Z8" s="241" t="s">
        <v>109</v>
      </c>
      <c r="AA8" s="16" t="s">
        <v>33</v>
      </c>
      <c r="AB8" s="16" t="s">
        <v>43</v>
      </c>
      <c r="AC8" s="16" t="s">
        <v>0</v>
      </c>
      <c r="AD8" s="16" t="s">
        <v>16</v>
      </c>
      <c r="AE8" s="16" t="s">
        <v>111</v>
      </c>
      <c r="AF8" s="16" t="s">
        <v>113</v>
      </c>
      <c r="AG8" s="16" t="s">
        <v>229</v>
      </c>
      <c r="AH8" s="16" t="s">
        <v>140</v>
      </c>
      <c r="AI8" s="16" t="s">
        <v>39</v>
      </c>
      <c r="AJ8" s="16" t="s">
        <v>27</v>
      </c>
      <c r="AK8" s="43" t="s">
        <v>12</v>
      </c>
      <c r="AL8" s="3"/>
      <c r="AM8" s="156"/>
      <c r="AY8" s="1"/>
      <c r="AZ8" s="1"/>
      <c r="BA8" s="1"/>
      <c r="BB8" s="1"/>
    </row>
    <row r="9" spans="1:54" ht="15" customHeight="1">
      <c r="A9" s="318" t="s">
        <v>90</v>
      </c>
      <c r="B9" s="320" t="s">
        <v>240</v>
      </c>
      <c r="C9" s="5"/>
      <c r="D9" s="6" t="s">
        <v>154</v>
      </c>
      <c r="E9" s="17" t="s">
        <v>142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44"/>
      <c r="AL9" s="3"/>
    </row>
    <row r="10" spans="1:54">
      <c r="A10" s="319"/>
      <c r="B10" s="321"/>
      <c r="C10" s="5">
        <v>1</v>
      </c>
      <c r="D10" s="6" t="s">
        <v>155</v>
      </c>
      <c r="E10" s="16" t="s">
        <v>227</v>
      </c>
      <c r="F10" s="16" t="s">
        <v>121</v>
      </c>
      <c r="G10" s="16" t="s">
        <v>270</v>
      </c>
      <c r="H10" s="16" t="s">
        <v>6</v>
      </c>
      <c r="I10" s="16" t="s">
        <v>36</v>
      </c>
      <c r="J10" s="16" t="s">
        <v>117</v>
      </c>
      <c r="K10" s="16" t="s">
        <v>274</v>
      </c>
      <c r="L10" s="16" t="s">
        <v>30</v>
      </c>
      <c r="M10" s="16" t="s">
        <v>18</v>
      </c>
      <c r="N10" s="16" t="s">
        <v>102</v>
      </c>
      <c r="O10" s="16" t="s">
        <v>25</v>
      </c>
      <c r="P10" s="16" t="s">
        <v>37</v>
      </c>
      <c r="Q10" s="16" t="s">
        <v>32</v>
      </c>
      <c r="R10" s="22" t="s">
        <v>28</v>
      </c>
      <c r="S10" s="16" t="s">
        <v>1</v>
      </c>
      <c r="T10" s="16" t="s">
        <v>42</v>
      </c>
      <c r="U10" s="16" t="s">
        <v>295</v>
      </c>
      <c r="V10" s="93" t="s">
        <v>108</v>
      </c>
      <c r="W10" s="16" t="s">
        <v>34</v>
      </c>
      <c r="X10" s="16" t="s">
        <v>119</v>
      </c>
      <c r="Y10" s="16" t="s">
        <v>137</v>
      </c>
      <c r="Z10" s="18" t="s">
        <v>247</v>
      </c>
      <c r="AA10" s="16" t="s">
        <v>74</v>
      </c>
      <c r="AB10" s="16" t="s">
        <v>21</v>
      </c>
      <c r="AC10" s="16" t="s">
        <v>0</v>
      </c>
      <c r="AD10" s="16" t="s">
        <v>16</v>
      </c>
      <c r="AE10" s="16" t="s">
        <v>140</v>
      </c>
      <c r="AF10" s="16" t="s">
        <v>13</v>
      </c>
      <c r="AG10" s="16" t="s">
        <v>111</v>
      </c>
      <c r="AH10" s="16" t="s">
        <v>31</v>
      </c>
      <c r="AI10" s="43" t="s">
        <v>12</v>
      </c>
      <c r="AJ10" s="16" t="s">
        <v>43</v>
      </c>
      <c r="AK10" s="43" t="s">
        <v>4</v>
      </c>
      <c r="AL10" s="3"/>
    </row>
    <row r="11" spans="1:54">
      <c r="A11" s="319"/>
      <c r="B11" s="321"/>
      <c r="C11" s="5">
        <v>2</v>
      </c>
      <c r="D11" s="6" t="s">
        <v>156</v>
      </c>
      <c r="E11" s="16" t="s">
        <v>227</v>
      </c>
      <c r="F11" s="16" t="s">
        <v>121</v>
      </c>
      <c r="G11" s="204" t="s">
        <v>270</v>
      </c>
      <c r="H11" s="204" t="s">
        <v>6</v>
      </c>
      <c r="I11" s="16" t="s">
        <v>36</v>
      </c>
      <c r="J11" s="16" t="s">
        <v>117</v>
      </c>
      <c r="K11" s="16" t="s">
        <v>274</v>
      </c>
      <c r="L11" s="16" t="s">
        <v>30</v>
      </c>
      <c r="M11" s="16" t="s">
        <v>18</v>
      </c>
      <c r="N11" s="16" t="s">
        <v>102</v>
      </c>
      <c r="O11" s="16" t="s">
        <v>25</v>
      </c>
      <c r="P11" s="16" t="s">
        <v>37</v>
      </c>
      <c r="Q11" s="16" t="s">
        <v>32</v>
      </c>
      <c r="R11" s="22" t="s">
        <v>28</v>
      </c>
      <c r="S11" s="16" t="s">
        <v>1</v>
      </c>
      <c r="T11" s="16" t="s">
        <v>42</v>
      </c>
      <c r="U11" s="16" t="s">
        <v>295</v>
      </c>
      <c r="V11" s="93" t="s">
        <v>108</v>
      </c>
      <c r="W11" s="16" t="s">
        <v>34</v>
      </c>
      <c r="X11" s="16" t="s">
        <v>119</v>
      </c>
      <c r="Y11" s="16" t="s">
        <v>137</v>
      </c>
      <c r="Z11" s="18" t="s">
        <v>247</v>
      </c>
      <c r="AA11" s="16" t="s">
        <v>74</v>
      </c>
      <c r="AB11" s="16" t="s">
        <v>21</v>
      </c>
      <c r="AC11" s="16" t="s">
        <v>0</v>
      </c>
      <c r="AD11" s="16" t="s">
        <v>16</v>
      </c>
      <c r="AE11" s="16" t="s">
        <v>140</v>
      </c>
      <c r="AF11" s="16" t="s">
        <v>13</v>
      </c>
      <c r="AG11" s="16" t="s">
        <v>111</v>
      </c>
      <c r="AH11" s="16" t="s">
        <v>31</v>
      </c>
      <c r="AI11" s="43" t="s">
        <v>12</v>
      </c>
      <c r="AJ11" s="16" t="s">
        <v>43</v>
      </c>
      <c r="AK11" s="43" t="s">
        <v>4</v>
      </c>
      <c r="AL11" s="3"/>
    </row>
    <row r="12" spans="1:54">
      <c r="A12" s="319"/>
      <c r="B12" s="321"/>
      <c r="C12" s="5">
        <v>3</v>
      </c>
      <c r="D12" s="6" t="s">
        <v>253</v>
      </c>
      <c r="E12" s="18" t="s">
        <v>121</v>
      </c>
      <c r="F12" s="35" t="s">
        <v>301</v>
      </c>
      <c r="G12" s="304" t="s">
        <v>311</v>
      </c>
      <c r="H12" s="305"/>
      <c r="I12" s="36" t="s">
        <v>13</v>
      </c>
      <c r="J12" s="18" t="s">
        <v>36</v>
      </c>
      <c r="K12" s="43" t="s">
        <v>20</v>
      </c>
      <c r="L12" s="43" t="s">
        <v>137</v>
      </c>
      <c r="M12" s="18" t="s">
        <v>30</v>
      </c>
      <c r="N12" s="18" t="s">
        <v>18</v>
      </c>
      <c r="O12" s="18" t="s">
        <v>40</v>
      </c>
      <c r="P12" s="18" t="s">
        <v>32</v>
      </c>
      <c r="Q12" s="18" t="s">
        <v>37</v>
      </c>
      <c r="R12" s="22" t="s">
        <v>42</v>
      </c>
      <c r="S12" s="18" t="s">
        <v>247</v>
      </c>
      <c r="T12" s="18" t="s">
        <v>109</v>
      </c>
      <c r="U12" s="18" t="s">
        <v>119</v>
      </c>
      <c r="V12" s="18" t="s">
        <v>29</v>
      </c>
      <c r="W12" s="18" t="s">
        <v>39</v>
      </c>
      <c r="X12" s="18" t="s">
        <v>34</v>
      </c>
      <c r="Y12" s="16" t="s">
        <v>276</v>
      </c>
      <c r="Z12" s="18" t="s">
        <v>25</v>
      </c>
      <c r="AA12" s="18" t="s">
        <v>2</v>
      </c>
      <c r="AB12" s="18" t="s">
        <v>74</v>
      </c>
      <c r="AC12" s="16" t="s">
        <v>231</v>
      </c>
      <c r="AD12" s="18" t="s">
        <v>8</v>
      </c>
      <c r="AE12" s="18" t="s">
        <v>113</v>
      </c>
      <c r="AF12" s="18" t="s">
        <v>111</v>
      </c>
      <c r="AG12" s="18" t="s">
        <v>103</v>
      </c>
      <c r="AH12" s="18" t="s">
        <v>4</v>
      </c>
      <c r="AI12" s="18" t="s">
        <v>31</v>
      </c>
      <c r="AJ12" s="18" t="s">
        <v>140</v>
      </c>
      <c r="AK12" s="45" t="s">
        <v>41</v>
      </c>
      <c r="AL12" s="3"/>
    </row>
    <row r="13" spans="1:54">
      <c r="A13" s="319"/>
      <c r="B13" s="321"/>
      <c r="C13" s="5">
        <v>4</v>
      </c>
      <c r="D13" s="6" t="s">
        <v>254</v>
      </c>
      <c r="E13" s="18" t="s">
        <v>121</v>
      </c>
      <c r="F13" s="35" t="s">
        <v>301</v>
      </c>
      <c r="G13" s="306" t="s">
        <v>310</v>
      </c>
      <c r="H13" s="307"/>
      <c r="I13" s="36" t="s">
        <v>13</v>
      </c>
      <c r="J13" s="18" t="s">
        <v>36</v>
      </c>
      <c r="K13" s="43" t="s">
        <v>20</v>
      </c>
      <c r="L13" s="43" t="s">
        <v>137</v>
      </c>
      <c r="M13" s="18" t="s">
        <v>30</v>
      </c>
      <c r="N13" s="18" t="s">
        <v>18</v>
      </c>
      <c r="O13" s="18" t="s">
        <v>40</v>
      </c>
      <c r="P13" s="18" t="s">
        <v>32</v>
      </c>
      <c r="Q13" s="18" t="s">
        <v>37</v>
      </c>
      <c r="R13" s="22" t="s">
        <v>42</v>
      </c>
      <c r="S13" s="18" t="s">
        <v>247</v>
      </c>
      <c r="T13" s="18" t="s">
        <v>109</v>
      </c>
      <c r="U13" s="18" t="s">
        <v>119</v>
      </c>
      <c r="V13" s="18" t="s">
        <v>29</v>
      </c>
      <c r="W13" s="18" t="s">
        <v>39</v>
      </c>
      <c r="X13" s="18" t="s">
        <v>34</v>
      </c>
      <c r="Y13" s="16" t="s">
        <v>276</v>
      </c>
      <c r="Z13" s="18" t="s">
        <v>25</v>
      </c>
      <c r="AA13" s="18" t="s">
        <v>2</v>
      </c>
      <c r="AB13" s="18" t="s">
        <v>74</v>
      </c>
      <c r="AC13" s="16" t="s">
        <v>231</v>
      </c>
      <c r="AD13" s="18" t="s">
        <v>8</v>
      </c>
      <c r="AE13" s="18" t="s">
        <v>113</v>
      </c>
      <c r="AF13" s="18" t="s">
        <v>111</v>
      </c>
      <c r="AG13" s="18" t="s">
        <v>103</v>
      </c>
      <c r="AH13" s="18" t="s">
        <v>4</v>
      </c>
      <c r="AI13" s="18" t="s">
        <v>31</v>
      </c>
      <c r="AJ13" s="18" t="s">
        <v>140</v>
      </c>
      <c r="AK13" s="45" t="s">
        <v>41</v>
      </c>
      <c r="AL13" s="3"/>
    </row>
    <row r="14" spans="1:54">
      <c r="A14" s="319"/>
      <c r="B14" s="321"/>
      <c r="C14" s="5"/>
      <c r="D14" s="7" t="s">
        <v>255</v>
      </c>
      <c r="E14" s="17" t="s">
        <v>96</v>
      </c>
      <c r="F14" s="17"/>
      <c r="G14" s="39"/>
      <c r="H14" s="71"/>
      <c r="I14" s="17"/>
      <c r="J14" s="17"/>
      <c r="K14" s="17"/>
      <c r="L14" s="17"/>
      <c r="M14" s="17"/>
      <c r="N14" s="17"/>
      <c r="O14" s="17"/>
      <c r="P14" s="17"/>
      <c r="Q14" s="17"/>
      <c r="R14" s="20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20"/>
      <c r="AD14" s="17"/>
      <c r="AE14" s="17"/>
      <c r="AF14" s="17"/>
      <c r="AG14" s="17"/>
      <c r="AH14" s="17"/>
      <c r="AI14" s="17"/>
      <c r="AJ14" s="17"/>
      <c r="AK14" s="44"/>
      <c r="AL14" s="3"/>
    </row>
    <row r="15" spans="1:54">
      <c r="A15" s="319"/>
      <c r="B15" s="321"/>
      <c r="C15" s="5">
        <v>5</v>
      </c>
      <c r="D15" s="6" t="s">
        <v>256</v>
      </c>
      <c r="E15" s="304" t="s">
        <v>311</v>
      </c>
      <c r="F15" s="305"/>
      <c r="G15" s="18" t="s">
        <v>301</v>
      </c>
      <c r="H15" s="16" t="s">
        <v>276</v>
      </c>
      <c r="I15" s="16" t="s">
        <v>17</v>
      </c>
      <c r="J15" s="18" t="s">
        <v>13</v>
      </c>
      <c r="K15" s="18" t="s">
        <v>270</v>
      </c>
      <c r="L15" s="16" t="s">
        <v>102</v>
      </c>
      <c r="M15" s="18" t="s">
        <v>103</v>
      </c>
      <c r="N15" s="18" t="s">
        <v>274</v>
      </c>
      <c r="O15" s="18" t="s">
        <v>251</v>
      </c>
      <c r="P15" s="18" t="s">
        <v>109</v>
      </c>
      <c r="Q15" s="93" t="s">
        <v>108</v>
      </c>
      <c r="R15" s="22" t="s">
        <v>32</v>
      </c>
      <c r="S15" s="18" t="s">
        <v>7</v>
      </c>
      <c r="T15" s="18" t="s">
        <v>21</v>
      </c>
      <c r="U15" s="18" t="s">
        <v>145</v>
      </c>
      <c r="V15" s="215"/>
      <c r="W15" s="215"/>
      <c r="X15" s="215"/>
      <c r="Y15" s="215"/>
      <c r="Z15" s="215"/>
      <c r="AA15" s="18" t="s">
        <v>231</v>
      </c>
      <c r="AB15" s="18" t="s">
        <v>0</v>
      </c>
      <c r="AC15" s="22" t="s">
        <v>18</v>
      </c>
      <c r="AD15" s="18" t="s">
        <v>229</v>
      </c>
      <c r="AE15" s="16" t="s">
        <v>41</v>
      </c>
      <c r="AF15" s="18" t="s">
        <v>4</v>
      </c>
      <c r="AG15" s="18" t="s">
        <v>227</v>
      </c>
      <c r="AH15" s="18" t="s">
        <v>140</v>
      </c>
      <c r="AI15" s="18" t="s">
        <v>10</v>
      </c>
      <c r="AJ15" s="43" t="s">
        <v>6</v>
      </c>
      <c r="AK15" s="45" t="s">
        <v>292</v>
      </c>
      <c r="AL15" s="3"/>
    </row>
    <row r="16" spans="1:54" ht="15.75">
      <c r="A16" s="319"/>
      <c r="B16" s="321"/>
      <c r="C16" s="5">
        <v>6</v>
      </c>
      <c r="D16" s="6" t="s">
        <v>257</v>
      </c>
      <c r="E16" s="306" t="s">
        <v>312</v>
      </c>
      <c r="F16" s="307"/>
      <c r="G16" s="18" t="s">
        <v>301</v>
      </c>
      <c r="H16" s="22" t="s">
        <v>15</v>
      </c>
      <c r="I16" s="16" t="s">
        <v>276</v>
      </c>
      <c r="J16" s="18" t="s">
        <v>13</v>
      </c>
      <c r="K16" s="18" t="s">
        <v>270</v>
      </c>
      <c r="L16" s="16" t="s">
        <v>102</v>
      </c>
      <c r="M16" s="18" t="s">
        <v>103</v>
      </c>
      <c r="N16" s="18" t="s">
        <v>274</v>
      </c>
      <c r="O16" s="18" t="s">
        <v>251</v>
      </c>
      <c r="P16" s="18" t="s">
        <v>109</v>
      </c>
      <c r="Q16" s="93" t="s">
        <v>108</v>
      </c>
      <c r="R16" s="22" t="s">
        <v>32</v>
      </c>
      <c r="S16" s="18" t="s">
        <v>28</v>
      </c>
      <c r="T16" s="18" t="s">
        <v>21</v>
      </c>
      <c r="U16" s="18" t="s">
        <v>98</v>
      </c>
      <c r="V16" s="215"/>
      <c r="W16" s="215"/>
      <c r="X16" s="215"/>
      <c r="Y16" s="215"/>
      <c r="Z16" s="215"/>
      <c r="AA16" s="18" t="s">
        <v>231</v>
      </c>
      <c r="AB16" s="18" t="s">
        <v>0</v>
      </c>
      <c r="AC16" s="22" t="s">
        <v>8</v>
      </c>
      <c r="AD16" s="18" t="s">
        <v>229</v>
      </c>
      <c r="AE16" s="16" t="s">
        <v>41</v>
      </c>
      <c r="AF16" s="18" t="s">
        <v>4</v>
      </c>
      <c r="AG16" s="18" t="s">
        <v>227</v>
      </c>
      <c r="AH16" s="18" t="s">
        <v>10</v>
      </c>
      <c r="AI16" s="18" t="s">
        <v>140</v>
      </c>
      <c r="AJ16" s="43" t="s">
        <v>6</v>
      </c>
      <c r="AK16" s="45" t="s">
        <v>292</v>
      </c>
      <c r="AL16" s="3"/>
      <c r="AM16" s="11"/>
    </row>
    <row r="17" spans="1:45" ht="14.25" customHeight="1" thickBot="1">
      <c r="A17" s="319"/>
      <c r="B17" s="321"/>
      <c r="C17" s="5"/>
      <c r="D17" s="6" t="s">
        <v>258</v>
      </c>
      <c r="E17" s="61" t="s">
        <v>136</v>
      </c>
      <c r="F17" s="61"/>
      <c r="G17" s="61"/>
      <c r="H17" s="61"/>
      <c r="I17" s="61"/>
      <c r="J17" s="61"/>
      <c r="K17" s="61"/>
      <c r="L17" s="53"/>
      <c r="M17" s="53"/>
      <c r="N17" s="61"/>
      <c r="O17" s="54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63"/>
      <c r="AL17" s="3"/>
    </row>
    <row r="18" spans="1:45" ht="16.5" thickTop="1" thickBot="1">
      <c r="A18" s="319"/>
      <c r="B18" s="321"/>
      <c r="C18" s="5">
        <v>7</v>
      </c>
      <c r="D18" s="42" t="s">
        <v>259</v>
      </c>
      <c r="E18" s="210"/>
      <c r="F18" s="211"/>
      <c r="G18" s="211"/>
      <c r="H18" s="211"/>
      <c r="I18" s="211"/>
      <c r="J18" s="212"/>
      <c r="K18" s="36" t="s">
        <v>295</v>
      </c>
      <c r="L18" s="36" t="s">
        <v>251</v>
      </c>
      <c r="M18" s="16" t="s">
        <v>40</v>
      </c>
      <c r="N18" s="18" t="s">
        <v>98</v>
      </c>
      <c r="O18" s="18" t="s">
        <v>18</v>
      </c>
      <c r="P18" s="18" t="s">
        <v>16</v>
      </c>
      <c r="Q18" s="18" t="s">
        <v>42</v>
      </c>
      <c r="R18" s="22" t="s">
        <v>21</v>
      </c>
      <c r="S18" s="18" t="s">
        <v>28</v>
      </c>
      <c r="T18" s="18" t="s">
        <v>244</v>
      </c>
      <c r="U18" s="18" t="s">
        <v>99</v>
      </c>
      <c r="V18" s="18" t="s">
        <v>145</v>
      </c>
      <c r="W18" s="18" t="s">
        <v>247</v>
      </c>
      <c r="X18" s="301" t="s">
        <v>311</v>
      </c>
      <c r="Y18" s="302"/>
      <c r="Z18" s="303"/>
      <c r="AA18" s="18" t="s">
        <v>103</v>
      </c>
      <c r="AB18" s="18" t="s">
        <v>231</v>
      </c>
      <c r="AC18" s="22" t="s">
        <v>8</v>
      </c>
      <c r="AD18" s="18" t="s">
        <v>41</v>
      </c>
      <c r="AE18" s="18" t="s">
        <v>229</v>
      </c>
      <c r="AF18" s="45" t="s">
        <v>292</v>
      </c>
      <c r="AG18" s="18" t="s">
        <v>13</v>
      </c>
      <c r="AH18" s="18" t="s">
        <v>0</v>
      </c>
      <c r="AI18" s="18" t="s">
        <v>4</v>
      </c>
      <c r="AJ18" s="22" t="s">
        <v>10</v>
      </c>
      <c r="AK18" s="43" t="s">
        <v>12</v>
      </c>
      <c r="AL18" s="3"/>
    </row>
    <row r="19" spans="1:45" ht="16.5" thickTop="1" thickBot="1">
      <c r="A19" s="319"/>
      <c r="B19" s="321"/>
      <c r="C19" s="23">
        <v>8</v>
      </c>
      <c r="D19" s="194" t="s">
        <v>260</v>
      </c>
      <c r="E19" s="210"/>
      <c r="F19" s="213"/>
      <c r="G19" s="213"/>
      <c r="H19" s="213"/>
      <c r="I19" s="213"/>
      <c r="J19" s="214"/>
      <c r="K19" s="36" t="s">
        <v>295</v>
      </c>
      <c r="L19" s="40" t="s">
        <v>251</v>
      </c>
      <c r="M19" s="21" t="s">
        <v>40</v>
      </c>
      <c r="N19" s="21" t="s">
        <v>98</v>
      </c>
      <c r="O19" s="21" t="s">
        <v>18</v>
      </c>
      <c r="P19" s="21" t="s">
        <v>16</v>
      </c>
      <c r="Q19" s="21" t="s">
        <v>42</v>
      </c>
      <c r="R19" s="19" t="s">
        <v>21</v>
      </c>
      <c r="S19" s="21" t="s">
        <v>7</v>
      </c>
      <c r="T19" s="19" t="s">
        <v>244</v>
      </c>
      <c r="U19" s="21" t="s">
        <v>99</v>
      </c>
      <c r="V19" s="21" t="s">
        <v>145</v>
      </c>
      <c r="W19" s="21" t="s">
        <v>247</v>
      </c>
      <c r="X19" s="301" t="s">
        <v>241</v>
      </c>
      <c r="Y19" s="302"/>
      <c r="Z19" s="303"/>
      <c r="AA19" s="18" t="s">
        <v>103</v>
      </c>
      <c r="AB19" s="21" t="s">
        <v>231</v>
      </c>
      <c r="AC19" s="19" t="s">
        <v>14</v>
      </c>
      <c r="AD19" s="21" t="s">
        <v>41</v>
      </c>
      <c r="AE19" s="21" t="s">
        <v>229</v>
      </c>
      <c r="AF19" s="45" t="s">
        <v>292</v>
      </c>
      <c r="AG19" s="21" t="s">
        <v>140</v>
      </c>
      <c r="AH19" s="21" t="s">
        <v>0</v>
      </c>
      <c r="AI19" s="21" t="s">
        <v>4</v>
      </c>
      <c r="AJ19" s="43" t="s">
        <v>12</v>
      </c>
      <c r="AK19" s="239" t="s">
        <v>17</v>
      </c>
      <c r="AL19" s="3"/>
    </row>
    <row r="20" spans="1:45" ht="6" customHeight="1" thickTop="1">
      <c r="A20" s="319"/>
      <c r="B20" s="322"/>
      <c r="C20" s="27"/>
      <c r="D20" s="28"/>
      <c r="E20" s="41"/>
      <c r="F20" s="41"/>
      <c r="G20" s="41"/>
      <c r="H20" s="41"/>
      <c r="I20" s="41"/>
      <c r="J20" s="41"/>
      <c r="K20" s="41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47"/>
      <c r="AL20" s="3"/>
    </row>
    <row r="21" spans="1:45" ht="15" customHeight="1">
      <c r="A21" s="318" t="s">
        <v>91</v>
      </c>
      <c r="B21" s="320" t="s">
        <v>287</v>
      </c>
      <c r="C21" s="25" t="s">
        <v>47</v>
      </c>
      <c r="D21" s="26" t="s">
        <v>78</v>
      </c>
      <c r="E21" s="207" t="s">
        <v>44</v>
      </c>
      <c r="F21" s="77" t="s">
        <v>45</v>
      </c>
      <c r="G21" s="207" t="s">
        <v>46</v>
      </c>
      <c r="H21" s="77" t="s">
        <v>76</v>
      </c>
      <c r="I21" s="77" t="s">
        <v>80</v>
      </c>
      <c r="J21" s="77" t="s">
        <v>81</v>
      </c>
      <c r="K21" s="77" t="s">
        <v>82</v>
      </c>
      <c r="L21" s="77" t="s">
        <v>83</v>
      </c>
      <c r="M21" s="77" t="s">
        <v>84</v>
      </c>
      <c r="N21" s="77" t="s">
        <v>85</v>
      </c>
      <c r="O21" s="77" t="s">
        <v>94</v>
      </c>
      <c r="P21" s="16" t="s">
        <v>44</v>
      </c>
      <c r="Q21" s="16" t="s">
        <v>45</v>
      </c>
      <c r="R21" s="16" t="s">
        <v>46</v>
      </c>
      <c r="S21" s="207" t="s">
        <v>76</v>
      </c>
      <c r="T21" s="16" t="s">
        <v>80</v>
      </c>
      <c r="U21" s="22" t="s">
        <v>81</v>
      </c>
      <c r="V21" s="16" t="s">
        <v>82</v>
      </c>
      <c r="W21" s="16" t="s">
        <v>83</v>
      </c>
      <c r="X21" s="16" t="s">
        <v>84</v>
      </c>
      <c r="Y21" s="16" t="s">
        <v>85</v>
      </c>
      <c r="Z21" s="16" t="s">
        <v>94</v>
      </c>
      <c r="AA21" s="76" t="s">
        <v>44</v>
      </c>
      <c r="AB21" s="76" t="s">
        <v>45</v>
      </c>
      <c r="AC21" s="207" t="s">
        <v>46</v>
      </c>
      <c r="AD21" s="76" t="s">
        <v>76</v>
      </c>
      <c r="AE21" s="76" t="s">
        <v>80</v>
      </c>
      <c r="AF21" s="76" t="s">
        <v>81</v>
      </c>
      <c r="AG21" s="76" t="s">
        <v>82</v>
      </c>
      <c r="AH21" s="76" t="s">
        <v>83</v>
      </c>
      <c r="AI21" s="76" t="s">
        <v>84</v>
      </c>
      <c r="AJ21" s="76" t="s">
        <v>85</v>
      </c>
      <c r="AK21" s="78" t="s">
        <v>94</v>
      </c>
      <c r="AL21" s="3"/>
      <c r="AM21" s="1"/>
      <c r="AN21" s="1"/>
      <c r="AO21" s="1"/>
      <c r="AP21" s="1"/>
      <c r="AQ21" s="1"/>
      <c r="AR21" s="1"/>
      <c r="AS21" s="1"/>
    </row>
    <row r="22" spans="1:45" ht="15.75">
      <c r="A22" s="319"/>
      <c r="B22" s="321"/>
      <c r="C22" s="5"/>
      <c r="D22" s="6" t="s">
        <v>154</v>
      </c>
      <c r="E22" s="17" t="s">
        <v>261</v>
      </c>
      <c r="F22" s="17"/>
      <c r="G22" s="17"/>
      <c r="H22" s="20"/>
      <c r="I22" s="17"/>
      <c r="J22" s="37"/>
      <c r="K22" s="37"/>
      <c r="L22" s="37"/>
      <c r="M22" s="37"/>
      <c r="N22" s="37"/>
      <c r="O22" s="37"/>
      <c r="P22" s="37"/>
      <c r="Q22" s="37"/>
      <c r="R22" s="69"/>
      <c r="S22" s="37"/>
      <c r="T22" s="37"/>
      <c r="U22" s="37"/>
      <c r="V22" s="37"/>
      <c r="W22" s="37"/>
      <c r="X22" s="37"/>
      <c r="Y22" s="17"/>
      <c r="Z22" s="17"/>
      <c r="AA22" s="17"/>
      <c r="AB22" s="17"/>
      <c r="AC22" s="20"/>
      <c r="AD22" s="17"/>
      <c r="AE22" s="17"/>
      <c r="AF22" s="17"/>
      <c r="AG22" s="17"/>
      <c r="AH22" s="17"/>
      <c r="AI22" s="17"/>
      <c r="AJ22" s="17"/>
      <c r="AK22" s="44"/>
      <c r="AL22" s="3"/>
      <c r="AM22" s="137"/>
      <c r="AN22" s="140"/>
      <c r="AO22" s="141"/>
      <c r="AP22" s="141"/>
      <c r="AQ22" s="1"/>
      <c r="AR22" s="1"/>
      <c r="AS22" s="1"/>
    </row>
    <row r="23" spans="1:45" ht="15.75">
      <c r="A23" s="319"/>
      <c r="B23" s="321"/>
      <c r="C23" s="5">
        <v>1</v>
      </c>
      <c r="D23" s="6" t="s">
        <v>262</v>
      </c>
      <c r="E23" s="18" t="s">
        <v>270</v>
      </c>
      <c r="F23" s="18" t="s">
        <v>36</v>
      </c>
      <c r="G23" s="16" t="s">
        <v>227</v>
      </c>
      <c r="H23" s="22" t="s">
        <v>121</v>
      </c>
      <c r="I23" s="18" t="s">
        <v>117</v>
      </c>
      <c r="J23" s="18" t="s">
        <v>43</v>
      </c>
      <c r="K23" s="18" t="s">
        <v>231</v>
      </c>
      <c r="L23" s="18" t="s">
        <v>272</v>
      </c>
      <c r="M23" s="18" t="s">
        <v>42</v>
      </c>
      <c r="N23" s="18" t="s">
        <v>30</v>
      </c>
      <c r="O23" s="18" t="s">
        <v>6</v>
      </c>
      <c r="P23" s="18" t="s">
        <v>26</v>
      </c>
      <c r="Q23" s="18" t="s">
        <v>244</v>
      </c>
      <c r="R23" s="22" t="s">
        <v>37</v>
      </c>
      <c r="S23" s="18" t="s">
        <v>251</v>
      </c>
      <c r="T23" s="18" t="s">
        <v>19</v>
      </c>
      <c r="U23" s="18" t="s">
        <v>7</v>
      </c>
      <c r="V23" s="18" t="s">
        <v>99</v>
      </c>
      <c r="W23" s="18" t="s">
        <v>137</v>
      </c>
      <c r="X23" s="18" t="s">
        <v>29</v>
      </c>
      <c r="Y23" s="18" t="s">
        <v>34</v>
      </c>
      <c r="Z23" s="18" t="s">
        <v>98</v>
      </c>
      <c r="AA23" s="18" t="s">
        <v>33</v>
      </c>
      <c r="AB23" s="22" t="s">
        <v>113</v>
      </c>
      <c r="AC23" s="22" t="s">
        <v>2</v>
      </c>
      <c r="AD23" s="18" t="s">
        <v>21</v>
      </c>
      <c r="AE23" s="18" t="s">
        <v>16</v>
      </c>
      <c r="AF23" s="18" t="s">
        <v>147</v>
      </c>
      <c r="AG23" s="18" t="s">
        <v>295</v>
      </c>
      <c r="AH23" s="18" t="s">
        <v>229</v>
      </c>
      <c r="AI23" s="18" t="s">
        <v>20</v>
      </c>
      <c r="AJ23" s="18" t="s">
        <v>241</v>
      </c>
      <c r="AK23" s="45" t="s">
        <v>31</v>
      </c>
      <c r="AL23" s="3"/>
      <c r="AM23" s="137"/>
      <c r="AN23" s="140"/>
      <c r="AO23" s="141"/>
      <c r="AP23" s="141"/>
      <c r="AQ23" s="1"/>
      <c r="AR23" s="1"/>
      <c r="AS23" s="1"/>
    </row>
    <row r="24" spans="1:45" ht="15.75">
      <c r="A24" s="319"/>
      <c r="B24" s="321"/>
      <c r="C24" s="5">
        <v>2</v>
      </c>
      <c r="D24" s="6" t="s">
        <v>263</v>
      </c>
      <c r="E24" s="18" t="s">
        <v>270</v>
      </c>
      <c r="F24" s="18" t="s">
        <v>36</v>
      </c>
      <c r="G24" s="16" t="s">
        <v>227</v>
      </c>
      <c r="H24" s="22" t="s">
        <v>121</v>
      </c>
      <c r="I24" s="18" t="s">
        <v>117</v>
      </c>
      <c r="J24" s="18" t="s">
        <v>43</v>
      </c>
      <c r="K24" s="18" t="s">
        <v>231</v>
      </c>
      <c r="L24" s="18" t="s">
        <v>272</v>
      </c>
      <c r="M24" s="18" t="s">
        <v>42</v>
      </c>
      <c r="N24" s="18" t="s">
        <v>30</v>
      </c>
      <c r="O24" s="18" t="s">
        <v>6</v>
      </c>
      <c r="P24" s="18" t="s">
        <v>26</v>
      </c>
      <c r="Q24" s="18" t="s">
        <v>244</v>
      </c>
      <c r="R24" s="22" t="s">
        <v>37</v>
      </c>
      <c r="S24" s="18" t="s">
        <v>251</v>
      </c>
      <c r="T24" s="18" t="s">
        <v>19</v>
      </c>
      <c r="U24" s="18" t="s">
        <v>7</v>
      </c>
      <c r="V24" s="18" t="s">
        <v>99</v>
      </c>
      <c r="W24" s="18" t="s">
        <v>137</v>
      </c>
      <c r="X24" s="18" t="s">
        <v>29</v>
      </c>
      <c r="Y24" s="18" t="s">
        <v>34</v>
      </c>
      <c r="Z24" s="18" t="s">
        <v>98</v>
      </c>
      <c r="AA24" s="18" t="s">
        <v>33</v>
      </c>
      <c r="AB24" s="22" t="s">
        <v>113</v>
      </c>
      <c r="AC24" s="22" t="s">
        <v>2</v>
      </c>
      <c r="AD24" s="18" t="s">
        <v>21</v>
      </c>
      <c r="AE24" s="18" t="s">
        <v>16</v>
      </c>
      <c r="AF24" s="18" t="s">
        <v>147</v>
      </c>
      <c r="AG24" s="18" t="s">
        <v>295</v>
      </c>
      <c r="AH24" s="18" t="s">
        <v>229</v>
      </c>
      <c r="AI24" s="18" t="s">
        <v>20</v>
      </c>
      <c r="AJ24" s="18" t="s">
        <v>241</v>
      </c>
      <c r="AK24" s="45" t="s">
        <v>31</v>
      </c>
      <c r="AL24" s="3"/>
      <c r="AM24" s="137"/>
      <c r="AN24" s="140"/>
      <c r="AO24" s="141"/>
      <c r="AP24" s="141"/>
      <c r="AQ24" s="1"/>
      <c r="AR24" s="1"/>
      <c r="AS24" s="1"/>
    </row>
    <row r="25" spans="1:45" ht="15.75">
      <c r="A25" s="319"/>
      <c r="B25" s="321"/>
      <c r="C25" s="5">
        <v>3</v>
      </c>
      <c r="D25" s="6" t="s">
        <v>150</v>
      </c>
      <c r="E25" s="18" t="s">
        <v>36</v>
      </c>
      <c r="F25" s="18" t="s">
        <v>272</v>
      </c>
      <c r="G25" s="18" t="s">
        <v>121</v>
      </c>
      <c r="H25" s="16" t="s">
        <v>276</v>
      </c>
      <c r="I25" s="16" t="s">
        <v>27</v>
      </c>
      <c r="J25" s="18" t="s">
        <v>40</v>
      </c>
      <c r="K25" s="18" t="s">
        <v>250</v>
      </c>
      <c r="L25" s="18" t="s">
        <v>274</v>
      </c>
      <c r="M25" s="16" t="s">
        <v>102</v>
      </c>
      <c r="N25" s="18" t="s">
        <v>42</v>
      </c>
      <c r="O25" s="18" t="s">
        <v>30</v>
      </c>
      <c r="P25" s="18" t="s">
        <v>241</v>
      </c>
      <c r="Q25" s="18" t="s">
        <v>1</v>
      </c>
      <c r="R25" s="22" t="s">
        <v>244</v>
      </c>
      <c r="S25" s="18" t="s">
        <v>37</v>
      </c>
      <c r="T25" s="18" t="s">
        <v>7</v>
      </c>
      <c r="U25" s="18" t="s">
        <v>234</v>
      </c>
      <c r="V25" s="93" t="s">
        <v>108</v>
      </c>
      <c r="W25" s="18" t="s">
        <v>147</v>
      </c>
      <c r="X25" s="18" t="s">
        <v>111</v>
      </c>
      <c r="Y25" s="18" t="s">
        <v>247</v>
      </c>
      <c r="Z25" s="18" t="s">
        <v>34</v>
      </c>
      <c r="AA25" s="18" t="s">
        <v>119</v>
      </c>
      <c r="AB25" s="18" t="s">
        <v>2</v>
      </c>
      <c r="AC25" s="208" t="s">
        <v>33</v>
      </c>
      <c r="AD25" s="208" t="s">
        <v>16</v>
      </c>
      <c r="AE25" s="18" t="s">
        <v>26</v>
      </c>
      <c r="AF25" s="18" t="s">
        <v>295</v>
      </c>
      <c r="AG25" s="18" t="s">
        <v>13</v>
      </c>
      <c r="AH25" s="18" t="s">
        <v>20</v>
      </c>
      <c r="AI25" s="18" t="s">
        <v>43</v>
      </c>
      <c r="AJ25" s="43" t="s">
        <v>12</v>
      </c>
      <c r="AK25" s="45" t="s">
        <v>39</v>
      </c>
      <c r="AL25" s="3"/>
      <c r="AM25" s="137"/>
      <c r="AN25" s="140"/>
      <c r="AO25" s="141"/>
      <c r="AP25" s="141"/>
      <c r="AQ25" s="1"/>
      <c r="AR25" s="1"/>
      <c r="AS25" s="1"/>
    </row>
    <row r="26" spans="1:45" ht="15.75">
      <c r="A26" s="319"/>
      <c r="B26" s="321"/>
      <c r="C26" s="5">
        <v>4</v>
      </c>
      <c r="D26" s="6" t="s">
        <v>264</v>
      </c>
      <c r="E26" s="18" t="s">
        <v>36</v>
      </c>
      <c r="F26" s="18" t="s">
        <v>272</v>
      </c>
      <c r="G26" s="18" t="s">
        <v>121</v>
      </c>
      <c r="H26" s="16" t="s">
        <v>276</v>
      </c>
      <c r="I26" s="16" t="s">
        <v>27</v>
      </c>
      <c r="J26" s="18" t="s">
        <v>40</v>
      </c>
      <c r="K26" s="18" t="s">
        <v>250</v>
      </c>
      <c r="L26" s="18" t="s">
        <v>274</v>
      </c>
      <c r="M26" s="16" t="s">
        <v>102</v>
      </c>
      <c r="N26" s="18" t="s">
        <v>42</v>
      </c>
      <c r="O26" s="22" t="s">
        <v>30</v>
      </c>
      <c r="P26" s="18" t="s">
        <v>241</v>
      </c>
      <c r="Q26" s="21" t="s">
        <v>1</v>
      </c>
      <c r="R26" s="22" t="s">
        <v>244</v>
      </c>
      <c r="S26" s="18" t="s">
        <v>37</v>
      </c>
      <c r="T26" s="18" t="s">
        <v>7</v>
      </c>
      <c r="U26" s="18" t="s">
        <v>234</v>
      </c>
      <c r="V26" s="93" t="s">
        <v>108</v>
      </c>
      <c r="W26" s="18" t="s">
        <v>147</v>
      </c>
      <c r="X26" s="18" t="s">
        <v>111</v>
      </c>
      <c r="Y26" s="18" t="s">
        <v>247</v>
      </c>
      <c r="Z26" s="18" t="s">
        <v>34</v>
      </c>
      <c r="AA26" s="18" t="s">
        <v>119</v>
      </c>
      <c r="AB26" s="18" t="s">
        <v>2</v>
      </c>
      <c r="AC26" s="240" t="s">
        <v>231</v>
      </c>
      <c r="AD26" s="208" t="s">
        <v>33</v>
      </c>
      <c r="AE26" s="18" t="s">
        <v>26</v>
      </c>
      <c r="AF26" s="18" t="s">
        <v>295</v>
      </c>
      <c r="AG26" s="18" t="s">
        <v>13</v>
      </c>
      <c r="AH26" s="18" t="s">
        <v>20</v>
      </c>
      <c r="AI26" s="18" t="s">
        <v>43</v>
      </c>
      <c r="AJ26" s="43" t="s">
        <v>12</v>
      </c>
      <c r="AK26" s="45" t="s">
        <v>39</v>
      </c>
      <c r="AL26" s="3"/>
      <c r="AM26" s="137"/>
      <c r="AN26" s="140"/>
      <c r="AO26" s="141"/>
      <c r="AP26" s="141"/>
      <c r="AQ26" s="1"/>
      <c r="AR26" s="1"/>
      <c r="AS26" s="1"/>
    </row>
    <row r="27" spans="1:45">
      <c r="A27" s="319"/>
      <c r="B27" s="321"/>
      <c r="C27" s="5"/>
      <c r="D27" s="7" t="s">
        <v>265</v>
      </c>
      <c r="E27" s="17" t="s">
        <v>96</v>
      </c>
      <c r="F27" s="17"/>
      <c r="G27" s="39"/>
      <c r="H27" s="71"/>
      <c r="I27" s="39"/>
      <c r="J27" s="39"/>
      <c r="K27" s="39"/>
      <c r="L27" s="70"/>
      <c r="M27" s="70"/>
      <c r="N27" s="70"/>
      <c r="O27" s="70"/>
      <c r="P27" s="70"/>
      <c r="Q27" s="70"/>
      <c r="R27" s="71"/>
      <c r="S27" s="39"/>
      <c r="T27" s="39"/>
      <c r="U27" s="39"/>
      <c r="V27" s="39"/>
      <c r="W27" s="39"/>
      <c r="X27" s="39"/>
      <c r="Y27" s="17"/>
      <c r="Z27" s="17"/>
      <c r="AA27" s="17"/>
      <c r="AB27" s="17"/>
      <c r="AC27" s="20"/>
      <c r="AD27" s="17"/>
      <c r="AE27" s="17"/>
      <c r="AF27" s="17"/>
      <c r="AG27" s="17"/>
      <c r="AH27" s="17"/>
      <c r="AI27" s="17"/>
      <c r="AJ27" s="17"/>
      <c r="AK27" s="44"/>
      <c r="AL27" s="3"/>
      <c r="AM27" s="1"/>
      <c r="AN27" s="1"/>
      <c r="AO27" s="1"/>
      <c r="AP27" s="1"/>
      <c r="AQ27" s="1"/>
      <c r="AR27" s="1"/>
      <c r="AS27" s="1"/>
    </row>
    <row r="28" spans="1:45">
      <c r="A28" s="319"/>
      <c r="B28" s="321"/>
      <c r="C28" s="5">
        <v>5</v>
      </c>
      <c r="D28" s="6" t="s">
        <v>153</v>
      </c>
      <c r="E28" s="16" t="s">
        <v>15</v>
      </c>
      <c r="F28" s="18" t="s">
        <v>301</v>
      </c>
      <c r="G28" s="16" t="s">
        <v>115</v>
      </c>
      <c r="H28" s="16" t="s">
        <v>27</v>
      </c>
      <c r="I28" s="304" t="s">
        <v>311</v>
      </c>
      <c r="J28" s="305"/>
      <c r="K28" s="18" t="s">
        <v>40</v>
      </c>
      <c r="L28" s="18" t="s">
        <v>270</v>
      </c>
      <c r="M28" s="18" t="s">
        <v>231</v>
      </c>
      <c r="N28" s="16" t="s">
        <v>251</v>
      </c>
      <c r="O28" s="16" t="s">
        <v>102</v>
      </c>
      <c r="P28" s="18" t="s">
        <v>244</v>
      </c>
      <c r="Q28" s="18" t="s">
        <v>109</v>
      </c>
      <c r="R28" s="22" t="s">
        <v>19</v>
      </c>
      <c r="S28" s="18" t="s">
        <v>241</v>
      </c>
      <c r="T28" s="18" t="s">
        <v>99</v>
      </c>
      <c r="U28" s="18" t="s">
        <v>295</v>
      </c>
      <c r="V28" s="215"/>
      <c r="W28" s="215"/>
      <c r="X28" s="215"/>
      <c r="Y28" s="215"/>
      <c r="Z28" s="215"/>
      <c r="AA28" s="18" t="s">
        <v>21</v>
      </c>
      <c r="AB28" s="18" t="s">
        <v>33</v>
      </c>
      <c r="AC28" s="22" t="s">
        <v>26</v>
      </c>
      <c r="AD28" s="22" t="s">
        <v>103</v>
      </c>
      <c r="AE28" s="22" t="s">
        <v>8</v>
      </c>
      <c r="AF28" s="18" t="s">
        <v>13</v>
      </c>
      <c r="AG28" s="18" t="s">
        <v>147</v>
      </c>
      <c r="AH28" s="18" t="s">
        <v>227</v>
      </c>
      <c r="AI28" s="18" t="s">
        <v>6</v>
      </c>
      <c r="AJ28" s="208" t="s">
        <v>31</v>
      </c>
      <c r="AK28" s="43" t="s">
        <v>140</v>
      </c>
      <c r="AL28" s="3"/>
      <c r="AM28" s="1"/>
      <c r="AN28" s="1"/>
      <c r="AO28" s="1"/>
      <c r="AP28" s="1"/>
      <c r="AQ28" s="1"/>
      <c r="AR28" s="1"/>
      <c r="AS28" s="1"/>
    </row>
    <row r="29" spans="1:45">
      <c r="A29" s="319"/>
      <c r="B29" s="321"/>
      <c r="C29" s="5">
        <v>6</v>
      </c>
      <c r="D29" s="6" t="s">
        <v>266</v>
      </c>
      <c r="E29" s="16" t="s">
        <v>15</v>
      </c>
      <c r="F29" s="18" t="s">
        <v>145</v>
      </c>
      <c r="G29" s="16" t="s">
        <v>115</v>
      </c>
      <c r="H29" s="16" t="s">
        <v>27</v>
      </c>
      <c r="I29" s="306" t="s">
        <v>313</v>
      </c>
      <c r="J29" s="307"/>
      <c r="K29" s="18" t="s">
        <v>40</v>
      </c>
      <c r="L29" s="18" t="s">
        <v>270</v>
      </c>
      <c r="M29" s="18" t="s">
        <v>231</v>
      </c>
      <c r="N29" s="16" t="s">
        <v>251</v>
      </c>
      <c r="O29" s="16" t="s">
        <v>102</v>
      </c>
      <c r="P29" s="18" t="s">
        <v>244</v>
      </c>
      <c r="Q29" s="18" t="s">
        <v>109</v>
      </c>
      <c r="R29" s="22" t="s">
        <v>19</v>
      </c>
      <c r="S29" s="18" t="s">
        <v>241</v>
      </c>
      <c r="T29" s="18" t="s">
        <v>99</v>
      </c>
      <c r="U29" s="18" t="s">
        <v>295</v>
      </c>
      <c r="V29" s="215"/>
      <c r="W29" s="215"/>
      <c r="X29" s="215"/>
      <c r="Y29" s="215"/>
      <c r="Z29" s="215"/>
      <c r="AA29" s="18" t="s">
        <v>21</v>
      </c>
      <c r="AB29" s="18" t="s">
        <v>33</v>
      </c>
      <c r="AC29" s="22" t="s">
        <v>26</v>
      </c>
      <c r="AD29" s="18" t="s">
        <v>111</v>
      </c>
      <c r="AE29" s="22" t="s">
        <v>8</v>
      </c>
      <c r="AF29" s="22" t="s">
        <v>103</v>
      </c>
      <c r="AG29" s="18" t="s">
        <v>147</v>
      </c>
      <c r="AH29" s="18" t="s">
        <v>227</v>
      </c>
      <c r="AI29" s="18" t="s">
        <v>6</v>
      </c>
      <c r="AJ29" s="18" t="s">
        <v>140</v>
      </c>
      <c r="AK29" s="240" t="s">
        <v>31</v>
      </c>
      <c r="AL29" s="3"/>
      <c r="AM29" s="1"/>
      <c r="AN29" s="1"/>
      <c r="AO29" s="1"/>
      <c r="AP29" s="1"/>
      <c r="AQ29" s="1"/>
      <c r="AR29" s="1"/>
      <c r="AS29" s="1"/>
    </row>
    <row r="30" spans="1:45" ht="14.25" customHeight="1">
      <c r="A30" s="319"/>
      <c r="B30" s="321"/>
      <c r="C30" s="5"/>
      <c r="D30" s="6" t="s">
        <v>267</v>
      </c>
      <c r="E30" s="53" t="s">
        <v>136</v>
      </c>
      <c r="F30" s="53"/>
      <c r="G30" s="53"/>
      <c r="H30" s="53"/>
      <c r="I30" s="53"/>
      <c r="J30" s="53"/>
      <c r="K30" s="61"/>
      <c r="L30" s="72"/>
      <c r="M30" s="72"/>
      <c r="N30" s="72"/>
      <c r="O30" s="72"/>
      <c r="P30" s="72"/>
      <c r="Q30" s="54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63"/>
      <c r="AL30" s="3"/>
      <c r="AM30" s="1"/>
      <c r="AN30" s="1"/>
      <c r="AO30" s="1"/>
      <c r="AP30" s="2"/>
      <c r="AQ30" s="1"/>
      <c r="AR30" s="1"/>
      <c r="AS30" s="1"/>
    </row>
    <row r="31" spans="1:45" ht="14.25" customHeight="1">
      <c r="A31" s="319"/>
      <c r="B31" s="321"/>
      <c r="C31" s="5">
        <v>7</v>
      </c>
      <c r="D31" s="6"/>
      <c r="E31" s="16" t="s">
        <v>276</v>
      </c>
      <c r="F31" s="18" t="s">
        <v>15</v>
      </c>
      <c r="G31" s="18" t="s">
        <v>74</v>
      </c>
      <c r="H31" s="18" t="s">
        <v>301</v>
      </c>
      <c r="I31" s="18" t="s">
        <v>13</v>
      </c>
      <c r="J31" s="18" t="s">
        <v>19</v>
      </c>
      <c r="K31" s="18" t="s">
        <v>137</v>
      </c>
      <c r="L31" s="18" t="s">
        <v>231</v>
      </c>
      <c r="M31" s="18" t="s">
        <v>18</v>
      </c>
      <c r="N31" s="18" t="s">
        <v>6</v>
      </c>
      <c r="O31" s="18" t="s">
        <v>42</v>
      </c>
      <c r="P31" s="18" t="s">
        <v>16</v>
      </c>
      <c r="Q31" s="93" t="s">
        <v>108</v>
      </c>
      <c r="R31" s="22" t="s">
        <v>1</v>
      </c>
      <c r="S31" s="18" t="s">
        <v>109</v>
      </c>
      <c r="T31" s="18" t="s">
        <v>234</v>
      </c>
      <c r="U31" s="18" t="s">
        <v>145</v>
      </c>
      <c r="V31" s="18" t="s">
        <v>274</v>
      </c>
      <c r="W31" s="18" t="s">
        <v>247</v>
      </c>
      <c r="X31" s="18" t="s">
        <v>272</v>
      </c>
      <c r="Y31" s="18" t="s">
        <v>99</v>
      </c>
      <c r="Z31" s="18" t="s">
        <v>4</v>
      </c>
      <c r="AA31" s="18" t="s">
        <v>7</v>
      </c>
      <c r="AB31" s="18" t="s">
        <v>119</v>
      </c>
      <c r="AC31" s="22" t="s">
        <v>113</v>
      </c>
      <c r="AD31" s="22" t="s">
        <v>111</v>
      </c>
      <c r="AE31" s="18" t="s">
        <v>229</v>
      </c>
      <c r="AF31" s="22" t="s">
        <v>103</v>
      </c>
      <c r="AG31" s="18" t="s">
        <v>295</v>
      </c>
      <c r="AH31" s="18" t="s">
        <v>147</v>
      </c>
      <c r="AI31" s="43" t="s">
        <v>12</v>
      </c>
      <c r="AJ31" s="18" t="s">
        <v>20</v>
      </c>
      <c r="AK31" s="45" t="s">
        <v>227</v>
      </c>
      <c r="AL31" s="3"/>
      <c r="AM31" s="1"/>
      <c r="AN31" s="1"/>
      <c r="AO31" s="1"/>
      <c r="AP31" s="2"/>
      <c r="AQ31" s="1"/>
      <c r="AR31" s="1"/>
      <c r="AS31" s="1"/>
    </row>
    <row r="32" spans="1:45" ht="14.25" customHeight="1">
      <c r="A32" s="319"/>
      <c r="B32" s="321"/>
      <c r="C32" s="5">
        <v>8</v>
      </c>
      <c r="D32" s="6"/>
      <c r="E32" s="215"/>
      <c r="F32" s="215"/>
      <c r="G32" s="215"/>
      <c r="H32" s="216"/>
      <c r="I32" s="215"/>
      <c r="J32" s="215"/>
      <c r="K32" s="304" t="s">
        <v>311</v>
      </c>
      <c r="L32" s="305"/>
      <c r="M32" s="18" t="s">
        <v>251</v>
      </c>
      <c r="N32" s="18" t="s">
        <v>6</v>
      </c>
      <c r="O32" s="22" t="s">
        <v>42</v>
      </c>
      <c r="P32" s="18" t="s">
        <v>270</v>
      </c>
      <c r="Q32" s="18" t="s">
        <v>244</v>
      </c>
      <c r="R32" s="22" t="s">
        <v>1</v>
      </c>
      <c r="S32" s="18" t="s">
        <v>109</v>
      </c>
      <c r="T32" s="18" t="s">
        <v>234</v>
      </c>
      <c r="U32" s="18" t="s">
        <v>145</v>
      </c>
      <c r="V32" s="18" t="s">
        <v>274</v>
      </c>
      <c r="W32" s="18" t="s">
        <v>29</v>
      </c>
      <c r="X32" s="18" t="s">
        <v>272</v>
      </c>
      <c r="Y32" s="18" t="s">
        <v>99</v>
      </c>
      <c r="Z32" s="18" t="s">
        <v>4</v>
      </c>
      <c r="AA32" s="18" t="s">
        <v>7</v>
      </c>
      <c r="AB32" s="18" t="s">
        <v>8</v>
      </c>
      <c r="AC32" s="22" t="s">
        <v>113</v>
      </c>
      <c r="AD32" s="18" t="s">
        <v>0</v>
      </c>
      <c r="AE32" s="22" t="s">
        <v>103</v>
      </c>
      <c r="AF32" s="18" t="s">
        <v>41</v>
      </c>
      <c r="AG32" s="18" t="s">
        <v>295</v>
      </c>
      <c r="AH32" s="18" t="s">
        <v>147</v>
      </c>
      <c r="AI32" s="18" t="s">
        <v>227</v>
      </c>
      <c r="AJ32" s="18" t="s">
        <v>20</v>
      </c>
      <c r="AK32" s="16" t="s">
        <v>27</v>
      </c>
      <c r="AL32" s="3"/>
      <c r="AM32" s="1"/>
      <c r="AN32" s="1"/>
      <c r="AO32" s="1"/>
      <c r="AP32" s="2"/>
      <c r="AQ32" s="1"/>
      <c r="AR32" s="1"/>
      <c r="AS32" s="1"/>
    </row>
    <row r="33" spans="1:45">
      <c r="A33" s="319"/>
      <c r="B33" s="321"/>
      <c r="C33" s="5">
        <v>9</v>
      </c>
      <c r="D33" s="6" t="s">
        <v>135</v>
      </c>
      <c r="E33" s="217"/>
      <c r="F33" s="217"/>
      <c r="G33" s="217"/>
      <c r="H33" s="217"/>
      <c r="I33" s="217"/>
      <c r="J33" s="217"/>
      <c r="K33" s="306" t="s">
        <v>314</v>
      </c>
      <c r="L33" s="307"/>
      <c r="M33" s="21" t="s">
        <v>251</v>
      </c>
      <c r="N33" s="16" t="s">
        <v>102</v>
      </c>
      <c r="O33" s="21" t="s">
        <v>18</v>
      </c>
      <c r="P33" s="21" t="s">
        <v>270</v>
      </c>
      <c r="Q33" s="21" t="s">
        <v>19</v>
      </c>
      <c r="R33" s="21" t="s">
        <v>241</v>
      </c>
      <c r="S33" s="18" t="s">
        <v>247</v>
      </c>
      <c r="T33" s="241" t="s">
        <v>108</v>
      </c>
      <c r="U33" s="272" t="s">
        <v>244</v>
      </c>
      <c r="V33" s="18" t="s">
        <v>145</v>
      </c>
      <c r="W33" s="18" t="s">
        <v>29</v>
      </c>
      <c r="X33" s="18" t="s">
        <v>137</v>
      </c>
      <c r="Y33" s="18" t="s">
        <v>98</v>
      </c>
      <c r="Z33" s="16" t="s">
        <v>276</v>
      </c>
      <c r="AA33" s="18" t="s">
        <v>231</v>
      </c>
      <c r="AB33" s="36" t="s">
        <v>8</v>
      </c>
      <c r="AC33" s="22" t="s">
        <v>103</v>
      </c>
      <c r="AD33" s="18" t="s">
        <v>0</v>
      </c>
      <c r="AE33" s="18" t="s">
        <v>140</v>
      </c>
      <c r="AF33" s="18" t="s">
        <v>41</v>
      </c>
      <c r="AG33" s="18" t="s">
        <v>229</v>
      </c>
      <c r="AH33" s="43" t="s">
        <v>12</v>
      </c>
      <c r="AI33" s="18" t="s">
        <v>227</v>
      </c>
      <c r="AJ33" s="18" t="s">
        <v>4</v>
      </c>
      <c r="AK33" s="16" t="s">
        <v>27</v>
      </c>
      <c r="AL33" s="3"/>
      <c r="AP33" s="2"/>
    </row>
    <row r="34" spans="1:45" ht="6" customHeight="1">
      <c r="A34" s="319"/>
      <c r="B34" s="322"/>
      <c r="C34" s="27"/>
      <c r="D34" s="28"/>
      <c r="E34" s="29"/>
      <c r="F34" s="29"/>
      <c r="G34" s="29"/>
      <c r="H34" s="29"/>
      <c r="I34" s="29"/>
      <c r="J34" s="29"/>
      <c r="K34" s="41"/>
      <c r="L34" s="41"/>
      <c r="M34" s="41"/>
      <c r="N34" s="41"/>
      <c r="O34" s="41"/>
      <c r="P34" s="41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41"/>
      <c r="AB34" s="29"/>
      <c r="AC34" s="29"/>
      <c r="AD34" s="29"/>
      <c r="AE34" s="29"/>
      <c r="AF34" s="29"/>
      <c r="AG34" s="29"/>
      <c r="AH34" s="29"/>
      <c r="AI34" s="29"/>
      <c r="AJ34" s="29"/>
      <c r="AK34" s="47"/>
      <c r="AL34" s="3"/>
    </row>
    <row r="35" spans="1:45" ht="14.25" customHeight="1">
      <c r="A35" s="318" t="s">
        <v>92</v>
      </c>
      <c r="B35" s="323" t="s">
        <v>243</v>
      </c>
      <c r="C35" s="25" t="s">
        <v>47</v>
      </c>
      <c r="D35" s="26" t="s">
        <v>78</v>
      </c>
      <c r="E35" s="207" t="s">
        <v>44</v>
      </c>
      <c r="F35" s="77" t="s">
        <v>45</v>
      </c>
      <c r="G35" s="207" t="s">
        <v>46</v>
      </c>
      <c r="H35" s="77" t="s">
        <v>76</v>
      </c>
      <c r="I35" s="77" t="s">
        <v>80</v>
      </c>
      <c r="J35" s="77" t="s">
        <v>81</v>
      </c>
      <c r="K35" s="77" t="s">
        <v>82</v>
      </c>
      <c r="L35" s="77" t="s">
        <v>83</v>
      </c>
      <c r="M35" s="77" t="s">
        <v>84</v>
      </c>
      <c r="N35" s="77" t="s">
        <v>85</v>
      </c>
      <c r="O35" s="77" t="s">
        <v>94</v>
      </c>
      <c r="P35" s="16" t="s">
        <v>44</v>
      </c>
      <c r="Q35" s="16" t="s">
        <v>45</v>
      </c>
      <c r="R35" s="16" t="s">
        <v>46</v>
      </c>
      <c r="S35" s="207" t="s">
        <v>76</v>
      </c>
      <c r="T35" s="16" t="s">
        <v>80</v>
      </c>
      <c r="U35" s="22" t="s">
        <v>81</v>
      </c>
      <c r="V35" s="16" t="s">
        <v>82</v>
      </c>
      <c r="W35" s="16" t="s">
        <v>83</v>
      </c>
      <c r="X35" s="16" t="s">
        <v>84</v>
      </c>
      <c r="Y35" s="16" t="s">
        <v>85</v>
      </c>
      <c r="Z35" s="16" t="s">
        <v>94</v>
      </c>
      <c r="AA35" s="76" t="s">
        <v>44</v>
      </c>
      <c r="AB35" s="76" t="s">
        <v>45</v>
      </c>
      <c r="AC35" s="207" t="s">
        <v>46</v>
      </c>
      <c r="AD35" s="76" t="s">
        <v>76</v>
      </c>
      <c r="AE35" s="76" t="s">
        <v>80</v>
      </c>
      <c r="AF35" s="76" t="s">
        <v>81</v>
      </c>
      <c r="AG35" s="76" t="s">
        <v>82</v>
      </c>
      <c r="AH35" s="76" t="s">
        <v>83</v>
      </c>
      <c r="AI35" s="76" t="s">
        <v>84</v>
      </c>
      <c r="AJ35" s="76" t="s">
        <v>85</v>
      </c>
      <c r="AK35" s="78" t="s">
        <v>94</v>
      </c>
      <c r="AL35" s="3"/>
      <c r="AS35" s="9"/>
    </row>
    <row r="36" spans="1:45">
      <c r="A36" s="319"/>
      <c r="B36" s="321"/>
      <c r="C36" s="5"/>
      <c r="D36" s="6" t="s">
        <v>123</v>
      </c>
      <c r="E36" s="17" t="s">
        <v>100</v>
      </c>
      <c r="F36" s="17"/>
      <c r="G36" s="17"/>
      <c r="H36" s="20"/>
      <c r="I36" s="17"/>
      <c r="J36" s="17"/>
      <c r="K36" s="17"/>
      <c r="L36" s="17"/>
      <c r="M36" s="17"/>
      <c r="N36" s="17"/>
      <c r="O36" s="17"/>
      <c r="P36" s="17"/>
      <c r="Q36" s="17"/>
      <c r="R36" s="20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20"/>
      <c r="AD36" s="17"/>
      <c r="AE36" s="17"/>
      <c r="AF36" s="17"/>
      <c r="AG36" s="17"/>
      <c r="AH36" s="17"/>
      <c r="AI36" s="17"/>
      <c r="AJ36" s="17"/>
      <c r="AK36" s="44"/>
      <c r="AL36" s="3"/>
      <c r="AS36" s="9"/>
    </row>
    <row r="37" spans="1:45">
      <c r="A37" s="319"/>
      <c r="B37" s="321"/>
      <c r="C37" s="5">
        <v>1</v>
      </c>
      <c r="D37" s="6" t="s">
        <v>127</v>
      </c>
      <c r="E37" s="18" t="s">
        <v>272</v>
      </c>
      <c r="F37" s="22" t="s">
        <v>111</v>
      </c>
      <c r="G37" s="16" t="s">
        <v>276</v>
      </c>
      <c r="H37" s="22" t="s">
        <v>15</v>
      </c>
      <c r="I37" s="22" t="s">
        <v>121</v>
      </c>
      <c r="J37" s="45" t="s">
        <v>292</v>
      </c>
      <c r="K37" s="22" t="s">
        <v>300</v>
      </c>
      <c r="L37" s="16" t="s">
        <v>102</v>
      </c>
      <c r="M37" s="22" t="s">
        <v>20</v>
      </c>
      <c r="N37" s="19" t="s">
        <v>270</v>
      </c>
      <c r="O37" s="19" t="s">
        <v>231</v>
      </c>
      <c r="P37" s="19" t="s">
        <v>32</v>
      </c>
      <c r="Q37" s="22" t="s">
        <v>28</v>
      </c>
      <c r="R37" s="22" t="s">
        <v>16</v>
      </c>
      <c r="S37" s="22" t="s">
        <v>99</v>
      </c>
      <c r="T37" s="22" t="s">
        <v>37</v>
      </c>
      <c r="U37" s="22" t="s">
        <v>21</v>
      </c>
      <c r="V37" s="18" t="s">
        <v>119</v>
      </c>
      <c r="W37" s="18" t="s">
        <v>7</v>
      </c>
      <c r="X37" s="18" t="s">
        <v>39</v>
      </c>
      <c r="Y37" s="18" t="s">
        <v>25</v>
      </c>
      <c r="Z37" s="18" t="s">
        <v>98</v>
      </c>
      <c r="AA37" s="18" t="s">
        <v>113</v>
      </c>
      <c r="AB37" s="18" t="s">
        <v>43</v>
      </c>
      <c r="AC37" s="22" t="s">
        <v>4</v>
      </c>
      <c r="AD37" s="18" t="s">
        <v>33</v>
      </c>
      <c r="AE37" s="18" t="s">
        <v>2</v>
      </c>
      <c r="AF37" s="18" t="s">
        <v>295</v>
      </c>
      <c r="AG37" s="18" t="s">
        <v>13</v>
      </c>
      <c r="AH37" s="18" t="s">
        <v>31</v>
      </c>
      <c r="AI37" s="18" t="s">
        <v>140</v>
      </c>
      <c r="AJ37" s="18" t="s">
        <v>1</v>
      </c>
      <c r="AK37" s="16" t="s">
        <v>17</v>
      </c>
      <c r="AL37" s="3"/>
      <c r="AS37" s="9"/>
    </row>
    <row r="38" spans="1:45">
      <c r="A38" s="319"/>
      <c r="B38" s="321"/>
      <c r="C38" s="5">
        <v>2</v>
      </c>
      <c r="D38" s="6" t="s">
        <v>128</v>
      </c>
      <c r="E38" s="18" t="s">
        <v>272</v>
      </c>
      <c r="F38" s="22" t="s">
        <v>111</v>
      </c>
      <c r="G38" s="16" t="s">
        <v>276</v>
      </c>
      <c r="H38" s="22" t="s">
        <v>15</v>
      </c>
      <c r="I38" s="22" t="s">
        <v>121</v>
      </c>
      <c r="J38" s="45" t="s">
        <v>292</v>
      </c>
      <c r="K38" s="22" t="s">
        <v>300</v>
      </c>
      <c r="L38" s="16" t="s">
        <v>102</v>
      </c>
      <c r="M38" s="22" t="s">
        <v>20</v>
      </c>
      <c r="N38" s="22" t="s">
        <v>270</v>
      </c>
      <c r="O38" s="22" t="s">
        <v>231</v>
      </c>
      <c r="P38" s="22" t="s">
        <v>32</v>
      </c>
      <c r="Q38" s="22" t="s">
        <v>28</v>
      </c>
      <c r="R38" s="22" t="s">
        <v>16</v>
      </c>
      <c r="S38" s="22" t="s">
        <v>99</v>
      </c>
      <c r="T38" s="22" t="s">
        <v>37</v>
      </c>
      <c r="U38" s="22" t="s">
        <v>21</v>
      </c>
      <c r="V38" s="18" t="s">
        <v>119</v>
      </c>
      <c r="W38" s="18" t="s">
        <v>7</v>
      </c>
      <c r="X38" s="18" t="s">
        <v>39</v>
      </c>
      <c r="Y38" s="18" t="s">
        <v>25</v>
      </c>
      <c r="Z38" s="18" t="s">
        <v>137</v>
      </c>
      <c r="AA38" s="18" t="s">
        <v>113</v>
      </c>
      <c r="AB38" s="18" t="s">
        <v>43</v>
      </c>
      <c r="AC38" s="22" t="s">
        <v>4</v>
      </c>
      <c r="AD38" s="18" t="s">
        <v>33</v>
      </c>
      <c r="AE38" s="18" t="s">
        <v>2</v>
      </c>
      <c r="AF38" s="18" t="s">
        <v>295</v>
      </c>
      <c r="AG38" s="18" t="s">
        <v>13</v>
      </c>
      <c r="AH38" s="18" t="s">
        <v>31</v>
      </c>
      <c r="AI38" s="18" t="s">
        <v>140</v>
      </c>
      <c r="AJ38" s="18" t="s">
        <v>1</v>
      </c>
      <c r="AK38" s="16" t="s">
        <v>17</v>
      </c>
      <c r="AL38" s="3"/>
      <c r="AS38" s="9"/>
    </row>
    <row r="39" spans="1:45">
      <c r="A39" s="319"/>
      <c r="B39" s="321"/>
      <c r="C39" s="5">
        <v>3</v>
      </c>
      <c r="D39" s="6" t="s">
        <v>129</v>
      </c>
      <c r="E39" s="16" t="s">
        <v>276</v>
      </c>
      <c r="F39" s="22" t="s">
        <v>74</v>
      </c>
      <c r="G39" s="22" t="s">
        <v>15</v>
      </c>
      <c r="H39" s="22" t="s">
        <v>234</v>
      </c>
      <c r="I39" s="22" t="s">
        <v>6</v>
      </c>
      <c r="J39" s="22" t="s">
        <v>121</v>
      </c>
      <c r="K39" s="22" t="s">
        <v>274</v>
      </c>
      <c r="L39" s="22" t="s">
        <v>300</v>
      </c>
      <c r="M39" s="16" t="s">
        <v>102</v>
      </c>
      <c r="N39" s="22" t="s">
        <v>231</v>
      </c>
      <c r="O39" s="22" t="s">
        <v>25</v>
      </c>
      <c r="P39" s="22" t="s">
        <v>251</v>
      </c>
      <c r="Q39" s="22" t="s">
        <v>32</v>
      </c>
      <c r="R39" s="22" t="s">
        <v>109</v>
      </c>
      <c r="S39" s="22" t="s">
        <v>28</v>
      </c>
      <c r="T39" s="22" t="s">
        <v>241</v>
      </c>
      <c r="U39" s="22" t="s">
        <v>37</v>
      </c>
      <c r="V39" s="18" t="s">
        <v>21</v>
      </c>
      <c r="W39" s="18" t="s">
        <v>34</v>
      </c>
      <c r="X39" s="18" t="s">
        <v>7</v>
      </c>
      <c r="Y39" s="18" t="s">
        <v>39</v>
      </c>
      <c r="Z39" s="18" t="s">
        <v>247</v>
      </c>
      <c r="AA39" s="18" t="s">
        <v>18</v>
      </c>
      <c r="AB39" s="18" t="s">
        <v>4</v>
      </c>
      <c r="AC39" s="22" t="s">
        <v>14</v>
      </c>
      <c r="AD39" s="18" t="s">
        <v>16</v>
      </c>
      <c r="AE39" s="208" t="s">
        <v>33</v>
      </c>
      <c r="AF39" s="208" t="s">
        <v>13</v>
      </c>
      <c r="AG39" s="18" t="s">
        <v>41</v>
      </c>
      <c r="AH39" s="18" t="s">
        <v>140</v>
      </c>
      <c r="AI39" s="18" t="s">
        <v>31</v>
      </c>
      <c r="AJ39" s="16" t="s">
        <v>27</v>
      </c>
      <c r="AK39" s="43" t="s">
        <v>12</v>
      </c>
      <c r="AL39" s="3"/>
      <c r="AS39" s="9"/>
    </row>
    <row r="40" spans="1:45">
      <c r="A40" s="319"/>
      <c r="B40" s="321"/>
      <c r="C40" s="5">
        <v>4</v>
      </c>
      <c r="D40" s="6" t="s">
        <v>130</v>
      </c>
      <c r="E40" s="16" t="s">
        <v>276</v>
      </c>
      <c r="F40" s="22" t="s">
        <v>74</v>
      </c>
      <c r="G40" s="22" t="s">
        <v>15</v>
      </c>
      <c r="H40" s="22" t="s">
        <v>234</v>
      </c>
      <c r="I40" s="22" t="s">
        <v>6</v>
      </c>
      <c r="J40" s="22" t="s">
        <v>121</v>
      </c>
      <c r="K40" s="22" t="s">
        <v>274</v>
      </c>
      <c r="L40" s="22" t="s">
        <v>300</v>
      </c>
      <c r="M40" s="16" t="s">
        <v>102</v>
      </c>
      <c r="N40" s="22" t="s">
        <v>231</v>
      </c>
      <c r="O40" s="22" t="s">
        <v>25</v>
      </c>
      <c r="P40" s="22" t="s">
        <v>251</v>
      </c>
      <c r="Q40" s="22" t="s">
        <v>32</v>
      </c>
      <c r="R40" s="22" t="s">
        <v>109</v>
      </c>
      <c r="S40" s="22" t="s">
        <v>28</v>
      </c>
      <c r="T40" s="22" t="s">
        <v>241</v>
      </c>
      <c r="U40" s="22" t="s">
        <v>37</v>
      </c>
      <c r="V40" s="18" t="s">
        <v>21</v>
      </c>
      <c r="W40" s="18" t="s">
        <v>34</v>
      </c>
      <c r="X40" s="18" t="s">
        <v>7</v>
      </c>
      <c r="Y40" s="18" t="s">
        <v>39</v>
      </c>
      <c r="Z40" s="18" t="s">
        <v>247</v>
      </c>
      <c r="AA40" s="18" t="s">
        <v>18</v>
      </c>
      <c r="AB40" s="18" t="s">
        <v>4</v>
      </c>
      <c r="AC40" s="22" t="s">
        <v>14</v>
      </c>
      <c r="AD40" s="18" t="s">
        <v>229</v>
      </c>
      <c r="AE40" s="208" t="s">
        <v>16</v>
      </c>
      <c r="AF40" s="208" t="s">
        <v>295</v>
      </c>
      <c r="AG40" s="18" t="s">
        <v>41</v>
      </c>
      <c r="AH40" s="18" t="s">
        <v>140</v>
      </c>
      <c r="AI40" s="18" t="s">
        <v>31</v>
      </c>
      <c r="AJ40" s="16" t="s">
        <v>27</v>
      </c>
      <c r="AK40" s="43" t="s">
        <v>12</v>
      </c>
      <c r="AL40" s="3"/>
      <c r="AS40" s="9"/>
    </row>
    <row r="41" spans="1:45">
      <c r="A41" s="319"/>
      <c r="B41" s="321"/>
      <c r="C41" s="5"/>
      <c r="D41" s="7" t="s">
        <v>124</v>
      </c>
      <c r="E41" s="37" t="s">
        <v>96</v>
      </c>
      <c r="F41" s="17"/>
      <c r="G41" s="17"/>
      <c r="H41" s="20"/>
      <c r="I41" s="17"/>
      <c r="J41" s="17"/>
      <c r="K41" s="17"/>
      <c r="L41" s="17"/>
      <c r="M41" s="17"/>
      <c r="N41" s="17"/>
      <c r="O41" s="17"/>
      <c r="P41" s="17"/>
      <c r="Q41" s="17"/>
      <c r="R41" s="20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20"/>
      <c r="AD41" s="17"/>
      <c r="AE41" s="17"/>
      <c r="AF41" s="17"/>
      <c r="AG41" s="17"/>
      <c r="AH41" s="17"/>
      <c r="AI41" s="17"/>
      <c r="AJ41" s="17"/>
      <c r="AK41" s="44"/>
      <c r="AL41" s="3"/>
      <c r="AS41" s="9"/>
    </row>
    <row r="42" spans="1:45">
      <c r="A42" s="319"/>
      <c r="B42" s="321"/>
      <c r="C42" s="5">
        <v>5</v>
      </c>
      <c r="D42" s="42" t="s">
        <v>131</v>
      </c>
      <c r="E42" s="18" t="s">
        <v>111</v>
      </c>
      <c r="F42" s="36" t="s">
        <v>115</v>
      </c>
      <c r="G42" s="18" t="s">
        <v>18</v>
      </c>
      <c r="H42" s="22" t="s">
        <v>36</v>
      </c>
      <c r="I42" s="16" t="s">
        <v>276</v>
      </c>
      <c r="J42" s="18" t="s">
        <v>13</v>
      </c>
      <c r="K42" s="43" t="s">
        <v>12</v>
      </c>
      <c r="L42" s="18" t="s">
        <v>250</v>
      </c>
      <c r="M42" s="301" t="s">
        <v>311</v>
      </c>
      <c r="N42" s="302"/>
      <c r="O42" s="303"/>
      <c r="P42" s="18" t="s">
        <v>19</v>
      </c>
      <c r="Q42" s="18" t="s">
        <v>251</v>
      </c>
      <c r="R42" s="22" t="s">
        <v>241</v>
      </c>
      <c r="S42" s="18" t="s">
        <v>21</v>
      </c>
      <c r="T42" s="18" t="s">
        <v>32</v>
      </c>
      <c r="U42" s="18" t="s">
        <v>29</v>
      </c>
      <c r="V42" s="18" t="s">
        <v>295</v>
      </c>
      <c r="W42" s="18" t="s">
        <v>99</v>
      </c>
      <c r="X42" s="18" t="s">
        <v>34</v>
      </c>
      <c r="Y42" s="18" t="s">
        <v>98</v>
      </c>
      <c r="Z42" s="18" t="s">
        <v>1</v>
      </c>
      <c r="AA42" s="18" t="s">
        <v>43</v>
      </c>
      <c r="AB42" s="18" t="s">
        <v>14</v>
      </c>
      <c r="AC42" s="22" t="s">
        <v>41</v>
      </c>
      <c r="AD42" s="18" t="s">
        <v>2</v>
      </c>
      <c r="AE42" s="18" t="s">
        <v>0</v>
      </c>
      <c r="AF42" s="18" t="s">
        <v>8</v>
      </c>
      <c r="AG42" s="215"/>
      <c r="AH42" s="215"/>
      <c r="AI42" s="215"/>
      <c r="AJ42" s="215"/>
      <c r="AK42" s="222"/>
      <c r="AL42" s="3"/>
      <c r="AS42" s="9"/>
    </row>
    <row r="43" spans="1:45">
      <c r="A43" s="319"/>
      <c r="B43" s="321"/>
      <c r="C43" s="5">
        <v>6</v>
      </c>
      <c r="D43" s="42" t="s">
        <v>132</v>
      </c>
      <c r="E43" s="18" t="s">
        <v>74</v>
      </c>
      <c r="F43" s="36" t="s">
        <v>115</v>
      </c>
      <c r="G43" s="18" t="s">
        <v>272</v>
      </c>
      <c r="H43" s="22" t="s">
        <v>36</v>
      </c>
      <c r="I43" s="16" t="s">
        <v>276</v>
      </c>
      <c r="J43" s="18" t="s">
        <v>300</v>
      </c>
      <c r="K43" s="43" t="s">
        <v>12</v>
      </c>
      <c r="L43" s="18" t="s">
        <v>250</v>
      </c>
      <c r="M43" s="301" t="s">
        <v>315</v>
      </c>
      <c r="N43" s="302"/>
      <c r="O43" s="303"/>
      <c r="P43" s="18" t="s">
        <v>19</v>
      </c>
      <c r="Q43" s="18" t="s">
        <v>251</v>
      </c>
      <c r="R43" s="22" t="s">
        <v>241</v>
      </c>
      <c r="S43" s="18" t="s">
        <v>234</v>
      </c>
      <c r="T43" s="18" t="s">
        <v>32</v>
      </c>
      <c r="U43" s="93" t="s">
        <v>29</v>
      </c>
      <c r="V43" s="18" t="s">
        <v>295</v>
      </c>
      <c r="W43" s="18" t="s">
        <v>99</v>
      </c>
      <c r="X43" s="18" t="s">
        <v>34</v>
      </c>
      <c r="Y43" s="18" t="s">
        <v>98</v>
      </c>
      <c r="Z43" s="18" t="s">
        <v>1</v>
      </c>
      <c r="AA43" s="18" t="s">
        <v>43</v>
      </c>
      <c r="AB43" s="18" t="s">
        <v>14</v>
      </c>
      <c r="AC43" s="22" t="s">
        <v>26</v>
      </c>
      <c r="AD43" s="18" t="s">
        <v>2</v>
      </c>
      <c r="AE43" s="18" t="s">
        <v>0</v>
      </c>
      <c r="AF43" s="18" t="s">
        <v>8</v>
      </c>
      <c r="AG43" s="215"/>
      <c r="AH43" s="215"/>
      <c r="AI43" s="215"/>
      <c r="AJ43" s="215"/>
      <c r="AK43" s="222"/>
      <c r="AL43" s="3"/>
      <c r="AS43" s="9"/>
    </row>
    <row r="44" spans="1:45" ht="15" customHeight="1" thickBot="1">
      <c r="A44" s="319"/>
      <c r="B44" s="321"/>
      <c r="C44" s="5"/>
      <c r="D44" s="6" t="s">
        <v>134</v>
      </c>
      <c r="E44" s="53" t="s">
        <v>136</v>
      </c>
      <c r="F44" s="53"/>
      <c r="G44" s="53"/>
      <c r="H44" s="53"/>
      <c r="I44" s="53"/>
      <c r="J44" s="53"/>
      <c r="K44" s="53"/>
      <c r="L44" s="53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63"/>
      <c r="AL44" s="3"/>
      <c r="AS44" s="9"/>
    </row>
    <row r="45" spans="1:45" ht="16.5" thickTop="1" thickBot="1">
      <c r="A45" s="319"/>
      <c r="B45" s="321"/>
      <c r="C45" s="5">
        <v>7</v>
      </c>
      <c r="D45" s="6" t="s">
        <v>143</v>
      </c>
      <c r="E45" s="18" t="s">
        <v>74</v>
      </c>
      <c r="F45" s="18" t="s">
        <v>36</v>
      </c>
      <c r="G45" s="18" t="s">
        <v>272</v>
      </c>
      <c r="H45" s="22" t="s">
        <v>301</v>
      </c>
      <c r="I45" s="18" t="s">
        <v>20</v>
      </c>
      <c r="J45" s="18" t="s">
        <v>6</v>
      </c>
      <c r="K45" s="215"/>
      <c r="L45" s="215"/>
      <c r="M45" s="215"/>
      <c r="N45" s="215"/>
      <c r="O45" s="218"/>
      <c r="P45" s="202" t="s">
        <v>241</v>
      </c>
      <c r="Q45" s="195" t="s">
        <v>29</v>
      </c>
      <c r="R45" s="195" t="s">
        <v>99</v>
      </c>
      <c r="S45" s="196" t="s">
        <v>234</v>
      </c>
      <c r="T45" s="93" t="s">
        <v>108</v>
      </c>
      <c r="U45" s="197" t="s">
        <v>274</v>
      </c>
      <c r="V45" s="36" t="s">
        <v>7</v>
      </c>
      <c r="W45" s="36" t="s">
        <v>244</v>
      </c>
      <c r="X45" s="18" t="s">
        <v>247</v>
      </c>
      <c r="Y45" s="16" t="s">
        <v>137</v>
      </c>
      <c r="Z45" s="16" t="s">
        <v>109</v>
      </c>
      <c r="AA45" s="208" t="s">
        <v>33</v>
      </c>
      <c r="AB45" s="208" t="s">
        <v>14</v>
      </c>
      <c r="AC45" s="22" t="s">
        <v>26</v>
      </c>
      <c r="AD45" s="18" t="s">
        <v>4</v>
      </c>
      <c r="AE45" s="18" t="s">
        <v>103</v>
      </c>
      <c r="AF45" s="18" t="s">
        <v>0</v>
      </c>
      <c r="AG45" s="18" t="s">
        <v>140</v>
      </c>
      <c r="AH45" s="43" t="s">
        <v>12</v>
      </c>
      <c r="AI45" s="16" t="s">
        <v>27</v>
      </c>
      <c r="AJ45" s="18" t="s">
        <v>227</v>
      </c>
      <c r="AK45" s="45" t="s">
        <v>10</v>
      </c>
      <c r="AL45" s="3"/>
      <c r="AS45" s="9"/>
    </row>
    <row r="46" spans="1:45" ht="16.5" thickTop="1" thickBot="1">
      <c r="A46" s="319"/>
      <c r="B46" s="321"/>
      <c r="C46" s="23">
        <v>8</v>
      </c>
      <c r="D46" s="24" t="s">
        <v>144</v>
      </c>
      <c r="E46" s="21" t="s">
        <v>111</v>
      </c>
      <c r="F46" s="21" t="s">
        <v>36</v>
      </c>
      <c r="G46" s="21" t="s">
        <v>18</v>
      </c>
      <c r="H46" s="19" t="s">
        <v>301</v>
      </c>
      <c r="I46" s="21" t="s">
        <v>20</v>
      </c>
      <c r="J46" s="21" t="s">
        <v>6</v>
      </c>
      <c r="K46" s="217"/>
      <c r="L46" s="217"/>
      <c r="M46" s="215"/>
      <c r="N46" s="215"/>
      <c r="O46" s="218"/>
      <c r="P46" s="198" t="s">
        <v>244</v>
      </c>
      <c r="Q46" s="195" t="s">
        <v>29</v>
      </c>
      <c r="R46" s="199" t="s">
        <v>99</v>
      </c>
      <c r="S46" s="200" t="s">
        <v>21</v>
      </c>
      <c r="T46" s="93" t="s">
        <v>108</v>
      </c>
      <c r="U46" s="201" t="s">
        <v>274</v>
      </c>
      <c r="V46" s="36" t="s">
        <v>7</v>
      </c>
      <c r="W46" s="40" t="s">
        <v>137</v>
      </c>
      <c r="X46" s="18" t="s">
        <v>98</v>
      </c>
      <c r="Y46" s="16" t="s">
        <v>276</v>
      </c>
      <c r="Z46" s="16" t="s">
        <v>109</v>
      </c>
      <c r="AA46" s="209" t="s">
        <v>14</v>
      </c>
      <c r="AB46" s="209" t="s">
        <v>33</v>
      </c>
      <c r="AC46" s="19" t="s">
        <v>41</v>
      </c>
      <c r="AD46" s="21" t="s">
        <v>4</v>
      </c>
      <c r="AE46" s="18" t="s">
        <v>103</v>
      </c>
      <c r="AF46" s="21" t="s">
        <v>0</v>
      </c>
      <c r="AG46" s="21" t="s">
        <v>140</v>
      </c>
      <c r="AH46" s="43" t="s">
        <v>12</v>
      </c>
      <c r="AI46" s="16" t="s">
        <v>27</v>
      </c>
      <c r="AJ46" s="21" t="s">
        <v>227</v>
      </c>
      <c r="AK46" s="46" t="s">
        <v>10</v>
      </c>
      <c r="AL46" s="3"/>
      <c r="AS46" s="9"/>
    </row>
    <row r="47" spans="1:45" ht="4.5" customHeight="1" thickTop="1">
      <c r="A47" s="64"/>
      <c r="B47" s="65"/>
      <c r="C47" s="56"/>
      <c r="D47" s="57"/>
      <c r="E47" s="58"/>
      <c r="F47" s="58"/>
      <c r="G47" s="58"/>
      <c r="H47" s="59"/>
      <c r="I47" s="58"/>
      <c r="J47" s="58"/>
      <c r="K47" s="58"/>
      <c r="L47" s="58"/>
      <c r="M47" s="62"/>
      <c r="N47" s="62"/>
      <c r="O47" s="62"/>
      <c r="P47" s="62"/>
      <c r="Q47" s="62"/>
      <c r="R47" s="203"/>
      <c r="S47" s="62"/>
      <c r="T47" s="62"/>
      <c r="U47" s="62"/>
      <c r="V47" s="62"/>
      <c r="W47" s="58"/>
      <c r="X47" s="58"/>
      <c r="Y47" s="58"/>
      <c r="Z47" s="58"/>
      <c r="AA47" s="58"/>
      <c r="AB47" s="58"/>
      <c r="AC47" s="59"/>
      <c r="AD47" s="58"/>
      <c r="AE47" s="58"/>
      <c r="AF47" s="58"/>
      <c r="AG47" s="58"/>
      <c r="AH47" s="58"/>
      <c r="AI47" s="58"/>
      <c r="AJ47" s="58"/>
      <c r="AK47" s="66"/>
      <c r="AL47" s="3"/>
      <c r="AS47" s="9"/>
    </row>
    <row r="48" spans="1:45">
      <c r="A48" s="67"/>
      <c r="B48" s="52"/>
      <c r="C48" s="60"/>
      <c r="D48" s="60"/>
      <c r="E48" s="207" t="s">
        <v>44</v>
      </c>
      <c r="F48" s="77" t="s">
        <v>45</v>
      </c>
      <c r="G48" s="207" t="s">
        <v>46</v>
      </c>
      <c r="H48" s="77" t="s">
        <v>76</v>
      </c>
      <c r="I48" s="77" t="s">
        <v>80</v>
      </c>
      <c r="J48" s="77" t="s">
        <v>81</v>
      </c>
      <c r="K48" s="77" t="s">
        <v>82</v>
      </c>
      <c r="L48" s="77" t="s">
        <v>83</v>
      </c>
      <c r="M48" s="77" t="s">
        <v>84</v>
      </c>
      <c r="N48" s="77" t="s">
        <v>85</v>
      </c>
      <c r="O48" s="77" t="s">
        <v>94</v>
      </c>
      <c r="P48" s="16" t="s">
        <v>44</v>
      </c>
      <c r="Q48" s="16" t="s">
        <v>45</v>
      </c>
      <c r="R48" s="16" t="s">
        <v>46</v>
      </c>
      <c r="S48" s="207" t="s">
        <v>76</v>
      </c>
      <c r="T48" s="16" t="s">
        <v>80</v>
      </c>
      <c r="U48" s="22" t="s">
        <v>81</v>
      </c>
      <c r="V48" s="16" t="s">
        <v>82</v>
      </c>
      <c r="W48" s="16" t="s">
        <v>83</v>
      </c>
      <c r="X48" s="16" t="s">
        <v>84</v>
      </c>
      <c r="Y48" s="16" t="s">
        <v>85</v>
      </c>
      <c r="Z48" s="16" t="s">
        <v>94</v>
      </c>
      <c r="AA48" s="76" t="s">
        <v>44</v>
      </c>
      <c r="AB48" s="76" t="s">
        <v>45</v>
      </c>
      <c r="AC48" s="207" t="s">
        <v>46</v>
      </c>
      <c r="AD48" s="76" t="s">
        <v>76</v>
      </c>
      <c r="AE48" s="76" t="s">
        <v>80</v>
      </c>
      <c r="AF48" s="76" t="s">
        <v>81</v>
      </c>
      <c r="AG48" s="76" t="s">
        <v>82</v>
      </c>
      <c r="AH48" s="76" t="s">
        <v>83</v>
      </c>
      <c r="AI48" s="76" t="s">
        <v>84</v>
      </c>
      <c r="AJ48" s="76" t="s">
        <v>85</v>
      </c>
      <c r="AK48" s="78" t="s">
        <v>94</v>
      </c>
      <c r="AL48" s="3"/>
      <c r="AS48" s="9"/>
    </row>
    <row r="49" spans="1:46" ht="16.5" customHeight="1" thickBot="1">
      <c r="A49" s="310" t="s">
        <v>101</v>
      </c>
      <c r="B49" s="312" t="s">
        <v>288</v>
      </c>
      <c r="C49" s="5"/>
      <c r="D49" s="6" t="s">
        <v>123</v>
      </c>
      <c r="E49" s="17" t="s">
        <v>88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44"/>
      <c r="AM49" s="10">
        <v>1</v>
      </c>
      <c r="AN49" s="129" t="s">
        <v>0</v>
      </c>
      <c r="AO49" s="34" t="s">
        <v>281</v>
      </c>
      <c r="AP49" s="161"/>
      <c r="AQ49" s="161"/>
      <c r="AR49" s="162"/>
      <c r="AS49" s="9"/>
    </row>
    <row r="50" spans="1:46" ht="17.25" thickTop="1" thickBot="1">
      <c r="A50" s="310"/>
      <c r="B50" s="312"/>
      <c r="C50" s="5">
        <v>1</v>
      </c>
      <c r="D50" s="6" t="s">
        <v>127</v>
      </c>
      <c r="E50" s="16" t="s">
        <v>15</v>
      </c>
      <c r="F50" s="16" t="s">
        <v>145</v>
      </c>
      <c r="G50" s="16" t="s">
        <v>8</v>
      </c>
      <c r="H50" s="16" t="s">
        <v>27</v>
      </c>
      <c r="I50" s="16" t="s">
        <v>17</v>
      </c>
      <c r="J50" s="16" t="s">
        <v>36</v>
      </c>
      <c r="K50" s="16" t="s">
        <v>121</v>
      </c>
      <c r="L50" s="16" t="s">
        <v>30</v>
      </c>
      <c r="M50" s="16" t="s">
        <v>274</v>
      </c>
      <c r="N50" s="16" t="s">
        <v>102</v>
      </c>
      <c r="O50" s="16" t="s">
        <v>10</v>
      </c>
      <c r="P50" s="16" t="s">
        <v>42</v>
      </c>
      <c r="Q50" s="195" t="s">
        <v>363</v>
      </c>
      <c r="R50" s="16" t="s">
        <v>32</v>
      </c>
      <c r="S50" s="16" t="s">
        <v>247</v>
      </c>
      <c r="T50" s="16" t="s">
        <v>19</v>
      </c>
      <c r="U50" s="93" t="s">
        <v>108</v>
      </c>
      <c r="V50" s="16" t="s">
        <v>295</v>
      </c>
      <c r="W50" s="16" t="s">
        <v>251</v>
      </c>
      <c r="X50" s="16" t="s">
        <v>25</v>
      </c>
      <c r="Y50" s="22" t="s">
        <v>7</v>
      </c>
      <c r="Z50" s="16" t="s">
        <v>137</v>
      </c>
      <c r="AA50" s="16" t="s">
        <v>37</v>
      </c>
      <c r="AB50" s="18" t="s">
        <v>103</v>
      </c>
      <c r="AC50" s="16" t="s">
        <v>21</v>
      </c>
      <c r="AD50" s="16" t="s">
        <v>26</v>
      </c>
      <c r="AE50" s="16" t="s">
        <v>33</v>
      </c>
      <c r="AF50" s="16" t="s">
        <v>140</v>
      </c>
      <c r="AG50" s="45" t="s">
        <v>292</v>
      </c>
      <c r="AH50" s="16" t="s">
        <v>147</v>
      </c>
      <c r="AI50" s="16" t="s">
        <v>241</v>
      </c>
      <c r="AJ50" s="16" t="s">
        <v>39</v>
      </c>
      <c r="AK50" s="43" t="s">
        <v>12</v>
      </c>
      <c r="AM50" s="10">
        <v>2</v>
      </c>
      <c r="AN50" s="129" t="s">
        <v>1</v>
      </c>
      <c r="AO50" s="34" t="s">
        <v>48</v>
      </c>
      <c r="AP50" s="161"/>
      <c r="AQ50" s="161"/>
      <c r="AR50" s="163"/>
      <c r="AS50" s="9"/>
    </row>
    <row r="51" spans="1:46" ht="17.25" thickTop="1" thickBot="1">
      <c r="A51" s="310"/>
      <c r="B51" s="312"/>
      <c r="C51" s="5">
        <v>2</v>
      </c>
      <c r="D51" s="6" t="s">
        <v>128</v>
      </c>
      <c r="E51" s="16" t="s">
        <v>15</v>
      </c>
      <c r="F51" s="16" t="s">
        <v>145</v>
      </c>
      <c r="G51" s="16" t="s">
        <v>8</v>
      </c>
      <c r="H51" s="16" t="s">
        <v>27</v>
      </c>
      <c r="I51" s="16" t="s">
        <v>17</v>
      </c>
      <c r="J51" s="16" t="s">
        <v>36</v>
      </c>
      <c r="K51" s="16" t="s">
        <v>121</v>
      </c>
      <c r="L51" s="16" t="s">
        <v>30</v>
      </c>
      <c r="M51" s="16" t="s">
        <v>274</v>
      </c>
      <c r="N51" s="16" t="s">
        <v>102</v>
      </c>
      <c r="O51" s="16" t="s">
        <v>10</v>
      </c>
      <c r="P51" s="16" t="s">
        <v>42</v>
      </c>
      <c r="Q51" s="195" t="s">
        <v>363</v>
      </c>
      <c r="R51" s="16" t="s">
        <v>32</v>
      </c>
      <c r="S51" s="16" t="s">
        <v>247</v>
      </c>
      <c r="T51" s="16" t="s">
        <v>244</v>
      </c>
      <c r="U51" s="93" t="s">
        <v>108</v>
      </c>
      <c r="V51" s="204" t="s">
        <v>295</v>
      </c>
      <c r="W51" s="204" t="s">
        <v>251</v>
      </c>
      <c r="X51" s="204" t="s">
        <v>25</v>
      </c>
      <c r="Y51" s="204" t="s">
        <v>7</v>
      </c>
      <c r="Z51" s="204" t="s">
        <v>137</v>
      </c>
      <c r="AA51" s="16" t="s">
        <v>37</v>
      </c>
      <c r="AB51" s="18" t="s">
        <v>103</v>
      </c>
      <c r="AC51" s="16" t="s">
        <v>21</v>
      </c>
      <c r="AD51" s="16" t="s">
        <v>26</v>
      </c>
      <c r="AE51" s="22" t="s">
        <v>33</v>
      </c>
      <c r="AF51" s="16" t="s">
        <v>140</v>
      </c>
      <c r="AG51" s="45" t="s">
        <v>292</v>
      </c>
      <c r="AH51" s="16" t="s">
        <v>147</v>
      </c>
      <c r="AI51" s="16" t="s">
        <v>241</v>
      </c>
      <c r="AJ51" s="16" t="s">
        <v>39</v>
      </c>
      <c r="AK51" s="43" t="s">
        <v>12</v>
      </c>
      <c r="AM51" s="10">
        <v>3</v>
      </c>
      <c r="AN51" s="129" t="s">
        <v>2</v>
      </c>
      <c r="AO51" s="34" t="s">
        <v>284</v>
      </c>
      <c r="AP51" s="161"/>
      <c r="AQ51" s="161"/>
      <c r="AR51" s="163"/>
      <c r="AS51" s="9"/>
    </row>
    <row r="52" spans="1:46" ht="16.5" thickTop="1">
      <c r="A52" s="310"/>
      <c r="B52" s="312"/>
      <c r="C52" s="5">
        <v>3</v>
      </c>
      <c r="D52" s="6" t="s">
        <v>129</v>
      </c>
      <c r="E52" s="18" t="s">
        <v>145</v>
      </c>
      <c r="F52" s="18" t="s">
        <v>8</v>
      </c>
      <c r="G52" s="18" t="s">
        <v>20</v>
      </c>
      <c r="H52" s="16" t="s">
        <v>17</v>
      </c>
      <c r="I52" s="18" t="s">
        <v>13</v>
      </c>
      <c r="J52" s="18" t="s">
        <v>19</v>
      </c>
      <c r="K52" s="18" t="s">
        <v>6</v>
      </c>
      <c r="L52" s="18" t="s">
        <v>121</v>
      </c>
      <c r="M52" s="18" t="s">
        <v>30</v>
      </c>
      <c r="N52" s="18" t="s">
        <v>40</v>
      </c>
      <c r="O52" s="16" t="s">
        <v>102</v>
      </c>
      <c r="P52" s="304" t="s">
        <v>311</v>
      </c>
      <c r="Q52" s="305"/>
      <c r="R52" s="22" t="s">
        <v>16</v>
      </c>
      <c r="S52" s="18" t="s">
        <v>32</v>
      </c>
      <c r="T52" s="18" t="s">
        <v>28</v>
      </c>
      <c r="U52" s="35" t="s">
        <v>274</v>
      </c>
      <c r="V52" s="93" t="s">
        <v>108</v>
      </c>
      <c r="W52" s="195" t="s">
        <v>98</v>
      </c>
      <c r="X52" s="195" t="s">
        <v>247</v>
      </c>
      <c r="Y52" s="45" t="s">
        <v>292</v>
      </c>
      <c r="Z52" s="22" t="s">
        <v>272</v>
      </c>
      <c r="AA52" s="36" t="s">
        <v>14</v>
      </c>
      <c r="AB52" s="18" t="s">
        <v>37</v>
      </c>
      <c r="AC52" s="22" t="s">
        <v>33</v>
      </c>
      <c r="AD52" s="18" t="s">
        <v>140</v>
      </c>
      <c r="AE52" s="18" t="s">
        <v>21</v>
      </c>
      <c r="AF52" s="18" t="s">
        <v>147</v>
      </c>
      <c r="AG52" s="18" t="s">
        <v>113</v>
      </c>
      <c r="AH52" s="18" t="s">
        <v>241</v>
      </c>
      <c r="AI52" s="18" t="s">
        <v>39</v>
      </c>
      <c r="AJ52" s="18" t="s">
        <v>31</v>
      </c>
      <c r="AK52" s="45" t="s">
        <v>1</v>
      </c>
      <c r="AM52" s="10">
        <v>4</v>
      </c>
      <c r="AN52" s="129" t="s">
        <v>4</v>
      </c>
      <c r="AO52" s="34" t="s">
        <v>5</v>
      </c>
      <c r="AP52" s="161"/>
      <c r="AQ52" s="161"/>
      <c r="AR52" s="163"/>
      <c r="AS52" s="9"/>
    </row>
    <row r="53" spans="1:46" ht="16.5" thickBot="1">
      <c r="A53" s="310"/>
      <c r="B53" s="312"/>
      <c r="C53" s="5">
        <v>4</v>
      </c>
      <c r="D53" s="6" t="s">
        <v>130</v>
      </c>
      <c r="E53" s="18" t="s">
        <v>145</v>
      </c>
      <c r="F53" s="18" t="s">
        <v>8</v>
      </c>
      <c r="G53" s="16" t="s">
        <v>20</v>
      </c>
      <c r="H53" s="16" t="s">
        <v>17</v>
      </c>
      <c r="I53" s="18" t="s">
        <v>13</v>
      </c>
      <c r="J53" s="21" t="s">
        <v>19</v>
      </c>
      <c r="K53" s="18" t="s">
        <v>6</v>
      </c>
      <c r="L53" s="18" t="s">
        <v>121</v>
      </c>
      <c r="M53" s="18" t="s">
        <v>30</v>
      </c>
      <c r="N53" s="18" t="s">
        <v>40</v>
      </c>
      <c r="O53" s="18" t="s">
        <v>231</v>
      </c>
      <c r="P53" s="306" t="s">
        <v>316</v>
      </c>
      <c r="Q53" s="307"/>
      <c r="R53" s="22" t="s">
        <v>16</v>
      </c>
      <c r="S53" s="18" t="s">
        <v>32</v>
      </c>
      <c r="T53" s="18" t="s">
        <v>28</v>
      </c>
      <c r="U53" s="35" t="s">
        <v>274</v>
      </c>
      <c r="V53" s="198" t="s">
        <v>244</v>
      </c>
      <c r="W53" s="199" t="s">
        <v>98</v>
      </c>
      <c r="X53" s="199" t="s">
        <v>247</v>
      </c>
      <c r="Y53" s="45" t="s">
        <v>292</v>
      </c>
      <c r="Z53" s="19" t="s">
        <v>272</v>
      </c>
      <c r="AA53" s="36" t="s">
        <v>14</v>
      </c>
      <c r="AB53" s="18" t="s">
        <v>37</v>
      </c>
      <c r="AC53" s="22" t="s">
        <v>33</v>
      </c>
      <c r="AD53" s="18" t="s">
        <v>140</v>
      </c>
      <c r="AE53" s="18" t="s">
        <v>21</v>
      </c>
      <c r="AF53" s="18" t="s">
        <v>147</v>
      </c>
      <c r="AG53" s="18" t="s">
        <v>113</v>
      </c>
      <c r="AH53" s="18" t="s">
        <v>241</v>
      </c>
      <c r="AI53" s="18" t="s">
        <v>39</v>
      </c>
      <c r="AJ53" s="18" t="s">
        <v>31</v>
      </c>
      <c r="AK53" s="45" t="s">
        <v>1</v>
      </c>
      <c r="AM53" s="10">
        <v>5</v>
      </c>
      <c r="AN53" s="129" t="s">
        <v>99</v>
      </c>
      <c r="AO53" s="34" t="s">
        <v>3</v>
      </c>
      <c r="AP53" s="161"/>
      <c r="AQ53" s="161"/>
      <c r="AR53" s="163"/>
      <c r="AS53" s="9"/>
    </row>
    <row r="54" spans="1:46" ht="17.25" thickTop="1" thickBot="1">
      <c r="A54" s="310"/>
      <c r="B54" s="312"/>
      <c r="C54" s="5"/>
      <c r="D54" s="7" t="s">
        <v>124</v>
      </c>
      <c r="E54" s="17" t="s">
        <v>96</v>
      </c>
      <c r="F54" s="17"/>
      <c r="G54" s="17"/>
      <c r="H54" s="20"/>
      <c r="I54" s="17"/>
      <c r="J54" s="17"/>
      <c r="K54" s="39"/>
      <c r="L54" s="39"/>
      <c r="M54" s="70"/>
      <c r="N54" s="70"/>
      <c r="O54" s="70"/>
      <c r="P54" s="70"/>
      <c r="Q54" s="70"/>
      <c r="R54" s="73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3"/>
      <c r="AD54" s="70"/>
      <c r="AE54" s="70"/>
      <c r="AF54" s="70"/>
      <c r="AG54" s="70"/>
      <c r="AH54" s="70"/>
      <c r="AI54" s="39"/>
      <c r="AJ54" s="39"/>
      <c r="AK54" s="44"/>
      <c r="AM54" s="10">
        <v>6</v>
      </c>
      <c r="AN54" s="149" t="s">
        <v>227</v>
      </c>
      <c r="AO54" s="34" t="s">
        <v>228</v>
      </c>
      <c r="AP54" s="158"/>
      <c r="AQ54" s="158"/>
      <c r="AR54" s="164"/>
      <c r="AS54" s="139"/>
    </row>
    <row r="55" spans="1:46" ht="16.5" thickTop="1">
      <c r="A55" s="310"/>
      <c r="B55" s="312"/>
      <c r="C55" s="5">
        <v>5</v>
      </c>
      <c r="D55" s="42" t="s">
        <v>131</v>
      </c>
      <c r="E55" s="18" t="s">
        <v>8</v>
      </c>
      <c r="F55" s="18" t="s">
        <v>15</v>
      </c>
      <c r="G55" s="18" t="s">
        <v>36</v>
      </c>
      <c r="H55" s="22" t="s">
        <v>227</v>
      </c>
      <c r="I55" s="16" t="s">
        <v>27</v>
      </c>
      <c r="J55" s="18" t="s">
        <v>270</v>
      </c>
      <c r="K55" s="18" t="s">
        <v>300</v>
      </c>
      <c r="L55" s="35" t="s">
        <v>137</v>
      </c>
      <c r="M55" s="18" t="s">
        <v>231</v>
      </c>
      <c r="N55" s="22" t="s">
        <v>98</v>
      </c>
      <c r="O55" s="45" t="s">
        <v>292</v>
      </c>
      <c r="P55" s="18" t="s">
        <v>26</v>
      </c>
      <c r="Q55" s="16" t="s">
        <v>19</v>
      </c>
      <c r="R55" s="304" t="s">
        <v>311</v>
      </c>
      <c r="S55" s="305"/>
      <c r="T55" s="18" t="s">
        <v>32</v>
      </c>
      <c r="U55" s="18" t="s">
        <v>244</v>
      </c>
      <c r="V55" s="18" t="s">
        <v>234</v>
      </c>
      <c r="W55" s="18" t="s">
        <v>147</v>
      </c>
      <c r="X55" s="18" t="s">
        <v>1</v>
      </c>
      <c r="Y55" s="195" t="s">
        <v>247</v>
      </c>
      <c r="Z55" s="45" t="s">
        <v>7</v>
      </c>
      <c r="AA55" s="18" t="s">
        <v>0</v>
      </c>
      <c r="AB55" s="18" t="s">
        <v>33</v>
      </c>
      <c r="AC55" s="22" t="s">
        <v>14</v>
      </c>
      <c r="AD55" s="18" t="s">
        <v>16</v>
      </c>
      <c r="AE55" s="18" t="s">
        <v>111</v>
      </c>
      <c r="AF55" s="18" t="s">
        <v>13</v>
      </c>
      <c r="AG55" s="215"/>
      <c r="AH55" s="215"/>
      <c r="AI55" s="215"/>
      <c r="AJ55" s="215"/>
      <c r="AK55" s="222"/>
      <c r="AM55" s="10">
        <v>7</v>
      </c>
      <c r="AN55" s="129" t="s">
        <v>7</v>
      </c>
      <c r="AO55" s="34" t="s">
        <v>237</v>
      </c>
      <c r="AP55" s="161"/>
      <c r="AQ55" s="161"/>
      <c r="AR55" s="163"/>
    </row>
    <row r="56" spans="1:46" ht="16.5" thickBot="1">
      <c r="A56" s="310"/>
      <c r="B56" s="312"/>
      <c r="C56" s="5">
        <v>6</v>
      </c>
      <c r="D56" s="42" t="s">
        <v>132</v>
      </c>
      <c r="E56" s="18" t="s">
        <v>36</v>
      </c>
      <c r="F56" s="18" t="s">
        <v>15</v>
      </c>
      <c r="G56" s="18" t="s">
        <v>18</v>
      </c>
      <c r="H56" s="22" t="s">
        <v>227</v>
      </c>
      <c r="I56" s="16" t="s">
        <v>27</v>
      </c>
      <c r="J56" s="18" t="s">
        <v>270</v>
      </c>
      <c r="K56" s="43" t="s">
        <v>12</v>
      </c>
      <c r="L56" s="35" t="s">
        <v>300</v>
      </c>
      <c r="M56" s="18" t="s">
        <v>103</v>
      </c>
      <c r="N56" s="18" t="s">
        <v>231</v>
      </c>
      <c r="O56" s="45" t="s">
        <v>292</v>
      </c>
      <c r="P56" s="18" t="s">
        <v>26</v>
      </c>
      <c r="Q56" s="16" t="s">
        <v>19</v>
      </c>
      <c r="R56" s="306" t="s">
        <v>317</v>
      </c>
      <c r="S56" s="307"/>
      <c r="T56" s="18" t="s">
        <v>32</v>
      </c>
      <c r="U56" s="18" t="s">
        <v>244</v>
      </c>
      <c r="V56" s="18" t="s">
        <v>234</v>
      </c>
      <c r="W56" s="18" t="s">
        <v>147</v>
      </c>
      <c r="X56" s="18" t="s">
        <v>1</v>
      </c>
      <c r="Y56" s="199" t="s">
        <v>247</v>
      </c>
      <c r="Z56" s="45" t="s">
        <v>7</v>
      </c>
      <c r="AA56" s="18" t="s">
        <v>0</v>
      </c>
      <c r="AB56" s="18" t="s">
        <v>33</v>
      </c>
      <c r="AC56" s="22" t="s">
        <v>14</v>
      </c>
      <c r="AD56" s="18" t="s">
        <v>16</v>
      </c>
      <c r="AE56" s="18" t="s">
        <v>111</v>
      </c>
      <c r="AF56" s="18" t="s">
        <v>13</v>
      </c>
      <c r="AG56" s="215"/>
      <c r="AH56" s="215"/>
      <c r="AI56" s="215"/>
      <c r="AJ56" s="215"/>
      <c r="AK56" s="222"/>
      <c r="AM56" s="10">
        <v>8</v>
      </c>
      <c r="AN56" s="129" t="s">
        <v>8</v>
      </c>
      <c r="AO56" s="34" t="s">
        <v>50</v>
      </c>
      <c r="AP56" s="161"/>
      <c r="AQ56" s="161"/>
      <c r="AR56" s="162"/>
    </row>
    <row r="57" spans="1:46" ht="14.25" customHeight="1" thickTop="1">
      <c r="A57" s="310"/>
      <c r="B57" s="312"/>
      <c r="C57" s="5"/>
      <c r="D57" s="6" t="s">
        <v>134</v>
      </c>
      <c r="E57" s="53" t="s">
        <v>136</v>
      </c>
      <c r="F57" s="53"/>
      <c r="G57" s="53"/>
      <c r="H57" s="53"/>
      <c r="I57" s="53"/>
      <c r="J57" s="53"/>
      <c r="K57" s="53"/>
      <c r="L57" s="53"/>
      <c r="M57" s="54"/>
      <c r="N57" s="54"/>
      <c r="O57" s="72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3"/>
      <c r="AJ57" s="53"/>
      <c r="AK57" s="63"/>
      <c r="AM57" s="10">
        <v>9</v>
      </c>
      <c r="AN57" s="129" t="s">
        <v>6</v>
      </c>
      <c r="AO57" s="34" t="s">
        <v>9</v>
      </c>
      <c r="AP57" s="161"/>
      <c r="AQ57" s="165"/>
      <c r="AR57" s="162"/>
    </row>
    <row r="58" spans="1:46" ht="15.75">
      <c r="A58" s="310"/>
      <c r="B58" s="312"/>
      <c r="C58" s="5">
        <v>7</v>
      </c>
      <c r="D58" s="6" t="s">
        <v>143</v>
      </c>
      <c r="E58" s="18" t="s">
        <v>36</v>
      </c>
      <c r="F58" s="18" t="s">
        <v>227</v>
      </c>
      <c r="G58" s="18" t="s">
        <v>74</v>
      </c>
      <c r="H58" s="22" t="s">
        <v>272</v>
      </c>
      <c r="I58" s="18" t="s">
        <v>270</v>
      </c>
      <c r="J58" s="18" t="s">
        <v>148</v>
      </c>
      <c r="K58" s="215"/>
      <c r="L58" s="215"/>
      <c r="M58" s="215"/>
      <c r="N58" s="218"/>
      <c r="O58" s="215"/>
      <c r="P58" s="18" t="s">
        <v>21</v>
      </c>
      <c r="Q58" s="18" t="s">
        <v>99</v>
      </c>
      <c r="R58" s="18" t="s">
        <v>251</v>
      </c>
      <c r="S58" s="18" t="s">
        <v>19</v>
      </c>
      <c r="T58" s="304" t="s">
        <v>311</v>
      </c>
      <c r="U58" s="305"/>
      <c r="V58" s="18" t="s">
        <v>98</v>
      </c>
      <c r="W58" s="18" t="s">
        <v>244</v>
      </c>
      <c r="X58" s="18" t="s">
        <v>137</v>
      </c>
      <c r="Y58" s="18" t="s">
        <v>1</v>
      </c>
      <c r="Z58" s="45" t="s">
        <v>292</v>
      </c>
      <c r="AA58" s="230"/>
      <c r="AB58" s="230"/>
      <c r="AC58" s="230"/>
      <c r="AD58" s="230"/>
      <c r="AE58" s="230"/>
      <c r="AF58" s="230"/>
      <c r="AG58" s="18" t="s">
        <v>147</v>
      </c>
      <c r="AH58" s="18" t="s">
        <v>41</v>
      </c>
      <c r="AI58" s="18" t="s">
        <v>0</v>
      </c>
      <c r="AJ58" s="18" t="s">
        <v>4</v>
      </c>
      <c r="AK58" s="22" t="s">
        <v>10</v>
      </c>
      <c r="AM58" s="10">
        <v>10</v>
      </c>
      <c r="AN58" s="129" t="s">
        <v>10</v>
      </c>
      <c r="AO58" s="34" t="s">
        <v>51</v>
      </c>
      <c r="AP58" s="161"/>
      <c r="AQ58" s="165"/>
      <c r="AR58" s="163"/>
      <c r="AS58" s="9"/>
    </row>
    <row r="59" spans="1:46" ht="15.75">
      <c r="A59" s="310"/>
      <c r="B59" s="312"/>
      <c r="C59" s="5">
        <v>8</v>
      </c>
      <c r="D59" s="24" t="s">
        <v>144</v>
      </c>
      <c r="E59" s="21" t="s">
        <v>145</v>
      </c>
      <c r="F59" s="21" t="s">
        <v>227</v>
      </c>
      <c r="G59" s="21" t="s">
        <v>36</v>
      </c>
      <c r="H59" s="19" t="s">
        <v>272</v>
      </c>
      <c r="I59" s="21" t="s">
        <v>270</v>
      </c>
      <c r="J59" s="21" t="s">
        <v>148</v>
      </c>
      <c r="K59" s="217"/>
      <c r="L59" s="217"/>
      <c r="M59" s="217"/>
      <c r="N59" s="219"/>
      <c r="O59" s="215"/>
      <c r="P59" s="21" t="s">
        <v>21</v>
      </c>
      <c r="Q59" s="21" t="s">
        <v>99</v>
      </c>
      <c r="R59" s="21" t="s">
        <v>251</v>
      </c>
      <c r="S59" s="19" t="s">
        <v>241</v>
      </c>
      <c r="T59" s="306" t="s">
        <v>318</v>
      </c>
      <c r="U59" s="307"/>
      <c r="V59" s="21" t="s">
        <v>98</v>
      </c>
      <c r="W59" s="21" t="s">
        <v>244</v>
      </c>
      <c r="X59" s="18" t="s">
        <v>137</v>
      </c>
      <c r="Y59" s="18" t="s">
        <v>1</v>
      </c>
      <c r="Z59" s="45" t="s">
        <v>292</v>
      </c>
      <c r="AA59" s="234"/>
      <c r="AB59" s="234"/>
      <c r="AC59" s="234"/>
      <c r="AD59" s="234"/>
      <c r="AE59" s="234"/>
      <c r="AF59" s="234"/>
      <c r="AG59" s="21" t="s">
        <v>147</v>
      </c>
      <c r="AH59" s="21" t="s">
        <v>41</v>
      </c>
      <c r="AI59" s="21" t="s">
        <v>0</v>
      </c>
      <c r="AJ59" s="16" t="s">
        <v>17</v>
      </c>
      <c r="AK59" s="43" t="s">
        <v>12</v>
      </c>
      <c r="AM59" s="10">
        <v>11</v>
      </c>
      <c r="AN59" s="129" t="s">
        <v>98</v>
      </c>
      <c r="AO59" s="34" t="s">
        <v>11</v>
      </c>
      <c r="AP59" s="165"/>
      <c r="AQ59" s="161"/>
      <c r="AR59" s="163"/>
      <c r="AS59" s="9"/>
    </row>
    <row r="60" spans="1:46" ht="4.5" customHeight="1">
      <c r="A60" s="310"/>
      <c r="B60" s="324"/>
      <c r="C60" s="27"/>
      <c r="D60" s="28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41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41"/>
      <c r="AB60" s="29"/>
      <c r="AC60" s="29"/>
      <c r="AD60" s="29"/>
      <c r="AE60" s="29"/>
      <c r="AF60" s="29"/>
      <c r="AG60" s="29"/>
      <c r="AH60" s="29"/>
      <c r="AI60" s="29"/>
      <c r="AJ60" s="29"/>
      <c r="AK60" s="47"/>
      <c r="AM60" s="159"/>
      <c r="AN60" s="159"/>
      <c r="AO60" s="162"/>
      <c r="AP60" s="162"/>
      <c r="AQ60" s="162"/>
      <c r="AR60" s="162"/>
    </row>
    <row r="61" spans="1:46" ht="15.75" customHeight="1">
      <c r="A61" s="310" t="s">
        <v>106</v>
      </c>
      <c r="B61" s="312" t="s">
        <v>289</v>
      </c>
      <c r="C61" s="25" t="s">
        <v>47</v>
      </c>
      <c r="D61" s="26" t="s">
        <v>78</v>
      </c>
      <c r="E61" s="207" t="s">
        <v>44</v>
      </c>
      <c r="F61" s="77" t="s">
        <v>45</v>
      </c>
      <c r="G61" s="207" t="s">
        <v>46</v>
      </c>
      <c r="H61" s="77" t="s">
        <v>76</v>
      </c>
      <c r="I61" s="77" t="s">
        <v>80</v>
      </c>
      <c r="J61" s="77" t="s">
        <v>81</v>
      </c>
      <c r="K61" s="77" t="s">
        <v>82</v>
      </c>
      <c r="L61" s="77" t="s">
        <v>83</v>
      </c>
      <c r="M61" s="77" t="s">
        <v>84</v>
      </c>
      <c r="N61" s="77" t="s">
        <v>85</v>
      </c>
      <c r="O61" s="77" t="s">
        <v>94</v>
      </c>
      <c r="P61" s="16" t="s">
        <v>44</v>
      </c>
      <c r="Q61" s="16" t="s">
        <v>45</v>
      </c>
      <c r="R61" s="16" t="s">
        <v>46</v>
      </c>
      <c r="S61" s="207" t="s">
        <v>76</v>
      </c>
      <c r="T61" s="16" t="s">
        <v>80</v>
      </c>
      <c r="U61" s="22" t="s">
        <v>81</v>
      </c>
      <c r="V61" s="16" t="s">
        <v>82</v>
      </c>
      <c r="W61" s="16" t="s">
        <v>83</v>
      </c>
      <c r="X61" s="16" t="s">
        <v>84</v>
      </c>
      <c r="Y61" s="16" t="s">
        <v>85</v>
      </c>
      <c r="Z61" s="16" t="s">
        <v>94</v>
      </c>
      <c r="AA61" s="76" t="s">
        <v>44</v>
      </c>
      <c r="AB61" s="76" t="s">
        <v>45</v>
      </c>
      <c r="AC61" s="207" t="s">
        <v>46</v>
      </c>
      <c r="AD61" s="76" t="s">
        <v>76</v>
      </c>
      <c r="AE61" s="76" t="s">
        <v>80</v>
      </c>
      <c r="AF61" s="76" t="s">
        <v>81</v>
      </c>
      <c r="AG61" s="76" t="s">
        <v>82</v>
      </c>
      <c r="AH61" s="76" t="s">
        <v>83</v>
      </c>
      <c r="AI61" s="76" t="s">
        <v>84</v>
      </c>
      <c r="AJ61" s="76" t="s">
        <v>85</v>
      </c>
      <c r="AK61" s="78" t="s">
        <v>94</v>
      </c>
      <c r="AM61" s="10">
        <v>12</v>
      </c>
      <c r="AN61" s="131" t="s">
        <v>103</v>
      </c>
      <c r="AO61" s="138" t="s">
        <v>104</v>
      </c>
      <c r="AP61" s="161"/>
      <c r="AQ61" s="161"/>
      <c r="AR61" s="163"/>
      <c r="AT61" s="3"/>
    </row>
    <row r="62" spans="1:46" ht="15.75">
      <c r="A62" s="310"/>
      <c r="B62" s="312"/>
      <c r="C62" s="5"/>
      <c r="D62" s="6" t="s">
        <v>154</v>
      </c>
      <c r="E62" s="37" t="s">
        <v>268</v>
      </c>
      <c r="F62" s="37"/>
      <c r="G62" s="37"/>
      <c r="H62" s="20"/>
      <c r="I62" s="17"/>
      <c r="J62" s="17"/>
      <c r="K62" s="17"/>
      <c r="L62" s="17"/>
      <c r="M62" s="17"/>
      <c r="N62" s="17"/>
      <c r="O62" s="37"/>
      <c r="P62" s="17"/>
      <c r="Q62" s="17"/>
      <c r="R62" s="20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20"/>
      <c r="AD62" s="17"/>
      <c r="AE62" s="17"/>
      <c r="AF62" s="17"/>
      <c r="AG62" s="17"/>
      <c r="AH62" s="17"/>
      <c r="AI62" s="17"/>
      <c r="AJ62" s="17"/>
      <c r="AK62" s="44"/>
      <c r="AM62" s="10">
        <v>13</v>
      </c>
      <c r="AN62" s="160" t="s">
        <v>241</v>
      </c>
      <c r="AO62" s="165" t="s">
        <v>238</v>
      </c>
      <c r="AP62" s="161"/>
      <c r="AQ62" s="161"/>
      <c r="AR62" s="163"/>
    </row>
    <row r="63" spans="1:46" ht="15.75">
      <c r="A63" s="310"/>
      <c r="B63" s="312"/>
      <c r="C63" s="5">
        <v>1</v>
      </c>
      <c r="D63" s="42" t="s">
        <v>262</v>
      </c>
      <c r="E63" s="18" t="s">
        <v>234</v>
      </c>
      <c r="F63" s="18" t="s">
        <v>15</v>
      </c>
      <c r="G63" s="18" t="s">
        <v>74</v>
      </c>
      <c r="H63" s="30" t="s">
        <v>20</v>
      </c>
      <c r="I63" s="18" t="s">
        <v>272</v>
      </c>
      <c r="J63" s="16" t="s">
        <v>276</v>
      </c>
      <c r="K63" s="43" t="s">
        <v>12</v>
      </c>
      <c r="L63" s="18" t="s">
        <v>231</v>
      </c>
      <c r="M63" s="18" t="s">
        <v>274</v>
      </c>
      <c r="N63" s="35" t="s">
        <v>30</v>
      </c>
      <c r="O63" s="18" t="s">
        <v>102</v>
      </c>
      <c r="P63" s="36" t="s">
        <v>99</v>
      </c>
      <c r="Q63" s="18" t="s">
        <v>28</v>
      </c>
      <c r="R63" s="22" t="s">
        <v>16</v>
      </c>
      <c r="S63" s="18" t="s">
        <v>244</v>
      </c>
      <c r="T63" s="18" t="s">
        <v>241</v>
      </c>
      <c r="U63" s="18" t="s">
        <v>363</v>
      </c>
      <c r="V63" s="18" t="s">
        <v>121</v>
      </c>
      <c r="W63" s="22" t="s">
        <v>98</v>
      </c>
      <c r="X63" s="18" t="s">
        <v>21</v>
      </c>
      <c r="Y63" s="22" t="s">
        <v>109</v>
      </c>
      <c r="Z63" s="18" t="s">
        <v>39</v>
      </c>
      <c r="AA63" s="18" t="s">
        <v>14</v>
      </c>
      <c r="AB63" s="18" t="s">
        <v>18</v>
      </c>
      <c r="AC63" s="22" t="s">
        <v>43</v>
      </c>
      <c r="AD63" s="18" t="s">
        <v>37</v>
      </c>
      <c r="AE63" s="18" t="s">
        <v>33</v>
      </c>
      <c r="AF63" s="18" t="s">
        <v>140</v>
      </c>
      <c r="AG63" s="208" t="s">
        <v>295</v>
      </c>
      <c r="AH63" s="18" t="s">
        <v>229</v>
      </c>
      <c r="AI63" s="18" t="s">
        <v>41</v>
      </c>
      <c r="AJ63" s="16" t="s">
        <v>27</v>
      </c>
      <c r="AK63" s="45" t="s">
        <v>31</v>
      </c>
      <c r="AM63" s="10">
        <v>14</v>
      </c>
      <c r="AN63" s="129" t="s">
        <v>12</v>
      </c>
      <c r="AO63" s="34" t="s">
        <v>52</v>
      </c>
      <c r="AP63" s="161"/>
      <c r="AQ63" s="161"/>
      <c r="AR63" s="162"/>
      <c r="AS63" s="9"/>
    </row>
    <row r="64" spans="1:46" ht="15.75">
      <c r="A64" s="310"/>
      <c r="B64" s="312"/>
      <c r="C64" s="5">
        <v>2</v>
      </c>
      <c r="D64" s="42" t="s">
        <v>263</v>
      </c>
      <c r="E64" s="18" t="s">
        <v>234</v>
      </c>
      <c r="F64" s="18" t="s">
        <v>15</v>
      </c>
      <c r="G64" s="18" t="s">
        <v>74</v>
      </c>
      <c r="H64" s="30" t="s">
        <v>20</v>
      </c>
      <c r="I64" s="18" t="s">
        <v>272</v>
      </c>
      <c r="J64" s="18" t="s">
        <v>13</v>
      </c>
      <c r="K64" s="43" t="s">
        <v>12</v>
      </c>
      <c r="L64" s="21" t="s">
        <v>231</v>
      </c>
      <c r="M64" s="18" t="s">
        <v>274</v>
      </c>
      <c r="N64" s="35" t="s">
        <v>30</v>
      </c>
      <c r="O64" s="16" t="s">
        <v>102</v>
      </c>
      <c r="P64" s="36" t="s">
        <v>99</v>
      </c>
      <c r="Q64" s="18" t="s">
        <v>28</v>
      </c>
      <c r="R64" s="22" t="s">
        <v>7</v>
      </c>
      <c r="S64" s="18" t="s">
        <v>32</v>
      </c>
      <c r="T64" s="18" t="s">
        <v>1</v>
      </c>
      <c r="U64" s="18" t="s">
        <v>251</v>
      </c>
      <c r="V64" s="18" t="s">
        <v>121</v>
      </c>
      <c r="W64" s="18" t="s">
        <v>119</v>
      </c>
      <c r="X64" s="18" t="s">
        <v>21</v>
      </c>
      <c r="Y64" s="22" t="s">
        <v>109</v>
      </c>
      <c r="Z64" s="21" t="s">
        <v>39</v>
      </c>
      <c r="AA64" s="21" t="s">
        <v>14</v>
      </c>
      <c r="AB64" s="18" t="s">
        <v>18</v>
      </c>
      <c r="AC64" s="22" t="s">
        <v>43</v>
      </c>
      <c r="AD64" s="18" t="s">
        <v>37</v>
      </c>
      <c r="AE64" s="18" t="s">
        <v>33</v>
      </c>
      <c r="AF64" s="22" t="s">
        <v>103</v>
      </c>
      <c r="AG64" s="18" t="s">
        <v>0</v>
      </c>
      <c r="AH64" s="18" t="s">
        <v>8</v>
      </c>
      <c r="AI64" s="18" t="s">
        <v>41</v>
      </c>
      <c r="AJ64" s="16" t="s">
        <v>27</v>
      </c>
      <c r="AK64" s="45" t="s">
        <v>31</v>
      </c>
      <c r="AM64" s="10">
        <v>15</v>
      </c>
      <c r="AN64" s="129" t="s">
        <v>13</v>
      </c>
      <c r="AO64" s="34" t="s">
        <v>53</v>
      </c>
      <c r="AP64" s="161"/>
      <c r="AQ64" s="161"/>
      <c r="AR64" s="163"/>
      <c r="AS64" s="9"/>
    </row>
    <row r="65" spans="1:45" ht="15.75">
      <c r="A65" s="310"/>
      <c r="B65" s="312"/>
      <c r="C65" s="5">
        <v>3</v>
      </c>
      <c r="D65" s="42" t="s">
        <v>150</v>
      </c>
      <c r="E65" s="18" t="s">
        <v>15</v>
      </c>
      <c r="F65" s="16" t="s">
        <v>276</v>
      </c>
      <c r="G65" s="18" t="s">
        <v>234</v>
      </c>
      <c r="H65" s="16" t="s">
        <v>17</v>
      </c>
      <c r="I65" s="18" t="s">
        <v>299</v>
      </c>
      <c r="J65" s="22" t="s">
        <v>13</v>
      </c>
      <c r="K65" s="22" t="s">
        <v>231</v>
      </c>
      <c r="L65" s="16" t="s">
        <v>102</v>
      </c>
      <c r="M65" s="22" t="s">
        <v>121</v>
      </c>
      <c r="N65" s="22" t="s">
        <v>18</v>
      </c>
      <c r="O65" s="18" t="s">
        <v>10</v>
      </c>
      <c r="P65" s="21" t="s">
        <v>19</v>
      </c>
      <c r="Q65" s="22" t="s">
        <v>241</v>
      </c>
      <c r="R65" s="22" t="s">
        <v>7</v>
      </c>
      <c r="S65" s="22" t="s">
        <v>32</v>
      </c>
      <c r="T65" s="22" t="s">
        <v>1</v>
      </c>
      <c r="U65" s="22" t="s">
        <v>251</v>
      </c>
      <c r="V65" s="22" t="s">
        <v>98</v>
      </c>
      <c r="W65" s="22" t="s">
        <v>119</v>
      </c>
      <c r="X65" s="22" t="s">
        <v>244</v>
      </c>
      <c r="Y65" s="22" t="s">
        <v>29</v>
      </c>
      <c r="Z65" s="22" t="s">
        <v>247</v>
      </c>
      <c r="AA65" s="30" t="s">
        <v>103</v>
      </c>
      <c r="AB65" s="36" t="s">
        <v>14</v>
      </c>
      <c r="AC65" s="22" t="s">
        <v>37</v>
      </c>
      <c r="AD65" s="18" t="s">
        <v>140</v>
      </c>
      <c r="AE65" s="18" t="s">
        <v>16</v>
      </c>
      <c r="AF65" s="18" t="s">
        <v>229</v>
      </c>
      <c r="AG65" s="18" t="s">
        <v>0</v>
      </c>
      <c r="AH65" s="18" t="s">
        <v>8</v>
      </c>
      <c r="AI65" s="208" t="s">
        <v>31</v>
      </c>
      <c r="AJ65" s="43" t="s">
        <v>12</v>
      </c>
      <c r="AK65" s="16" t="s">
        <v>227</v>
      </c>
      <c r="AM65" s="10">
        <v>16</v>
      </c>
      <c r="AN65" s="129" t="s">
        <v>14</v>
      </c>
      <c r="AO65" s="34" t="s">
        <v>125</v>
      </c>
      <c r="AP65" s="161"/>
      <c r="AQ65" s="161"/>
      <c r="AR65" s="163"/>
    </row>
    <row r="66" spans="1:45" ht="16.5" thickBot="1">
      <c r="A66" s="310"/>
      <c r="B66" s="312"/>
      <c r="C66" s="5"/>
      <c r="D66" s="7" t="s">
        <v>151</v>
      </c>
      <c r="E66" s="39" t="s">
        <v>96</v>
      </c>
      <c r="F66" s="39"/>
      <c r="G66" s="39"/>
      <c r="H66" s="20"/>
      <c r="I66" s="17"/>
      <c r="J66" s="37"/>
      <c r="K66" s="37"/>
      <c r="L66" s="37"/>
      <c r="M66" s="37"/>
      <c r="N66" s="37"/>
      <c r="O66" s="37"/>
      <c r="P66" s="37"/>
      <c r="Q66" s="37"/>
      <c r="R66" s="69"/>
      <c r="S66" s="37"/>
      <c r="T66" s="37"/>
      <c r="U66" s="37"/>
      <c r="V66" s="37"/>
      <c r="W66" s="37"/>
      <c r="X66" s="37"/>
      <c r="Y66" s="37"/>
      <c r="Z66" s="70"/>
      <c r="AA66" s="70"/>
      <c r="AB66" s="37"/>
      <c r="AC66" s="69"/>
      <c r="AD66" s="37"/>
      <c r="AE66" s="37"/>
      <c r="AF66" s="37"/>
      <c r="AG66" s="37"/>
      <c r="AH66" s="37"/>
      <c r="AI66" s="17"/>
      <c r="AJ66" s="17"/>
      <c r="AK66" s="44"/>
      <c r="AM66" s="10">
        <v>17</v>
      </c>
      <c r="AN66" s="129" t="s">
        <v>15</v>
      </c>
      <c r="AO66" s="34" t="s">
        <v>282</v>
      </c>
      <c r="AP66" s="161"/>
      <c r="AQ66" s="161"/>
      <c r="AR66" s="163"/>
      <c r="AS66" s="9"/>
    </row>
    <row r="67" spans="1:45" ht="16.5" thickTop="1">
      <c r="A67" s="310"/>
      <c r="B67" s="312"/>
      <c r="C67" s="5">
        <v>4</v>
      </c>
      <c r="D67" s="6" t="s">
        <v>152</v>
      </c>
      <c r="E67" s="18" t="s">
        <v>74</v>
      </c>
      <c r="F67" s="18" t="s">
        <v>20</v>
      </c>
      <c r="G67" s="18" t="s">
        <v>234</v>
      </c>
      <c r="H67" s="16" t="s">
        <v>111</v>
      </c>
      <c r="I67" s="18" t="s">
        <v>299</v>
      </c>
      <c r="J67" s="18" t="s">
        <v>272</v>
      </c>
      <c r="K67" s="18" t="s">
        <v>295</v>
      </c>
      <c r="L67" s="18" t="s">
        <v>42</v>
      </c>
      <c r="M67" s="18" t="s">
        <v>121</v>
      </c>
      <c r="N67" s="18" t="s">
        <v>274</v>
      </c>
      <c r="O67" s="18" t="s">
        <v>270</v>
      </c>
      <c r="P67" s="215"/>
      <c r="Q67" s="215"/>
      <c r="R67" s="215"/>
      <c r="S67" s="215"/>
      <c r="T67" s="215"/>
      <c r="U67" s="215"/>
      <c r="V67" s="304" t="s">
        <v>311</v>
      </c>
      <c r="W67" s="305"/>
      <c r="X67" s="18" t="s">
        <v>98</v>
      </c>
      <c r="Y67" s="22" t="s">
        <v>29</v>
      </c>
      <c r="Z67" s="16" t="s">
        <v>276</v>
      </c>
      <c r="AA67" s="202" t="s">
        <v>33</v>
      </c>
      <c r="AB67" s="195" t="s">
        <v>231</v>
      </c>
      <c r="AC67" s="196" t="s">
        <v>37</v>
      </c>
      <c r="AD67" s="195" t="s">
        <v>26</v>
      </c>
      <c r="AE67" s="195" t="s">
        <v>4</v>
      </c>
      <c r="AF67" s="197" t="s">
        <v>2</v>
      </c>
      <c r="AG67" s="30" t="s">
        <v>103</v>
      </c>
      <c r="AH67" s="208" t="s">
        <v>31</v>
      </c>
      <c r="AI67" s="43" t="s">
        <v>12</v>
      </c>
      <c r="AJ67" s="18" t="s">
        <v>41</v>
      </c>
      <c r="AK67" s="45" t="s">
        <v>140</v>
      </c>
      <c r="AM67" s="10">
        <v>18</v>
      </c>
      <c r="AN67" s="129" t="s">
        <v>16</v>
      </c>
      <c r="AO67" s="34" t="s">
        <v>54</v>
      </c>
      <c r="AP67" s="161"/>
      <c r="AQ67" s="161"/>
      <c r="AR67" s="163"/>
      <c r="AS67" s="9"/>
    </row>
    <row r="68" spans="1:45" ht="16.5" thickBot="1">
      <c r="A68" s="310"/>
      <c r="B68" s="312"/>
      <c r="C68" s="5">
        <v>5</v>
      </c>
      <c r="D68" s="6" t="s">
        <v>153</v>
      </c>
      <c r="E68" s="21" t="s">
        <v>74</v>
      </c>
      <c r="F68" s="21" t="s">
        <v>20</v>
      </c>
      <c r="G68" s="21" t="s">
        <v>15</v>
      </c>
      <c r="H68" s="16" t="s">
        <v>111</v>
      </c>
      <c r="I68" s="21" t="s">
        <v>299</v>
      </c>
      <c r="J68" s="21" t="s">
        <v>272</v>
      </c>
      <c r="K68" s="21" t="s">
        <v>295</v>
      </c>
      <c r="L68" s="21" t="s">
        <v>42</v>
      </c>
      <c r="M68" s="16" t="s">
        <v>102</v>
      </c>
      <c r="N68" s="18" t="s">
        <v>274</v>
      </c>
      <c r="O68" s="18" t="s">
        <v>270</v>
      </c>
      <c r="P68" s="215"/>
      <c r="Q68" s="215"/>
      <c r="R68" s="215"/>
      <c r="S68" s="215"/>
      <c r="T68" s="215"/>
      <c r="U68" s="215"/>
      <c r="V68" s="306" t="s">
        <v>319</v>
      </c>
      <c r="W68" s="307"/>
      <c r="X68" s="22" t="s">
        <v>98</v>
      </c>
      <c r="Y68" s="22" t="s">
        <v>247</v>
      </c>
      <c r="Z68" s="16" t="s">
        <v>276</v>
      </c>
      <c r="AA68" s="198" t="s">
        <v>33</v>
      </c>
      <c r="AB68" s="18" t="s">
        <v>103</v>
      </c>
      <c r="AC68" s="238" t="s">
        <v>14</v>
      </c>
      <c r="AD68" s="199" t="s">
        <v>26</v>
      </c>
      <c r="AE68" s="199" t="s">
        <v>4</v>
      </c>
      <c r="AF68" s="201" t="s">
        <v>2</v>
      </c>
      <c r="AG68" s="235" t="s">
        <v>13</v>
      </c>
      <c r="AH68" s="43" t="s">
        <v>12</v>
      </c>
      <c r="AI68" s="30" t="s">
        <v>17</v>
      </c>
      <c r="AJ68" s="18" t="s">
        <v>41</v>
      </c>
      <c r="AK68" s="45" t="s">
        <v>140</v>
      </c>
      <c r="AM68" s="10">
        <v>19</v>
      </c>
      <c r="AN68" s="129" t="s">
        <v>102</v>
      </c>
      <c r="AO68" s="34" t="s">
        <v>105</v>
      </c>
      <c r="AP68" s="161"/>
      <c r="AQ68" s="161"/>
      <c r="AR68" s="163"/>
      <c r="AS68" s="9"/>
    </row>
    <row r="69" spans="1:45" ht="15.75" customHeight="1" thickTop="1">
      <c r="A69" s="310" t="s">
        <v>93</v>
      </c>
      <c r="B69" s="312" t="s">
        <v>290</v>
      </c>
      <c r="C69" s="5" t="s">
        <v>47</v>
      </c>
      <c r="D69" s="8" t="s">
        <v>78</v>
      </c>
      <c r="E69" s="207" t="s">
        <v>44</v>
      </c>
      <c r="F69" s="77" t="s">
        <v>45</v>
      </c>
      <c r="G69" s="207" t="s">
        <v>46</v>
      </c>
      <c r="H69" s="77" t="s">
        <v>76</v>
      </c>
      <c r="I69" s="77" t="s">
        <v>80</v>
      </c>
      <c r="J69" s="77" t="s">
        <v>81</v>
      </c>
      <c r="K69" s="77" t="s">
        <v>82</v>
      </c>
      <c r="L69" s="77" t="s">
        <v>83</v>
      </c>
      <c r="M69" s="77" t="s">
        <v>84</v>
      </c>
      <c r="N69" s="77" t="s">
        <v>85</v>
      </c>
      <c r="O69" s="77" t="s">
        <v>94</v>
      </c>
      <c r="P69" s="16" t="s">
        <v>44</v>
      </c>
      <c r="Q69" s="16" t="s">
        <v>45</v>
      </c>
      <c r="R69" s="16" t="s">
        <v>46</v>
      </c>
      <c r="S69" s="207" t="s">
        <v>76</v>
      </c>
      <c r="T69" s="16" t="s">
        <v>80</v>
      </c>
      <c r="U69" s="22" t="s">
        <v>81</v>
      </c>
      <c r="V69" s="16" t="s">
        <v>82</v>
      </c>
      <c r="W69" s="16" t="s">
        <v>83</v>
      </c>
      <c r="X69" s="16" t="s">
        <v>84</v>
      </c>
      <c r="Y69" s="16" t="s">
        <v>85</v>
      </c>
      <c r="Z69" s="16" t="s">
        <v>94</v>
      </c>
      <c r="AA69" s="76" t="s">
        <v>44</v>
      </c>
      <c r="AB69" s="76" t="s">
        <v>45</v>
      </c>
      <c r="AC69" s="207" t="s">
        <v>46</v>
      </c>
      <c r="AD69" s="76" t="s">
        <v>76</v>
      </c>
      <c r="AE69" s="76" t="s">
        <v>80</v>
      </c>
      <c r="AF69" s="76" t="s">
        <v>81</v>
      </c>
      <c r="AG69" s="76" t="s">
        <v>82</v>
      </c>
      <c r="AH69" s="76" t="s">
        <v>83</v>
      </c>
      <c r="AI69" s="76" t="s">
        <v>84</v>
      </c>
      <c r="AJ69" s="76" t="s">
        <v>85</v>
      </c>
      <c r="AK69" s="78" t="s">
        <v>94</v>
      </c>
      <c r="AM69" s="10">
        <v>20</v>
      </c>
      <c r="AN69" s="129" t="s">
        <v>108</v>
      </c>
      <c r="AO69" s="34" t="s">
        <v>107</v>
      </c>
      <c r="AP69" s="161"/>
      <c r="AQ69" s="161"/>
      <c r="AR69" s="163"/>
      <c r="AS69" s="9"/>
    </row>
    <row r="70" spans="1:45" ht="15.75">
      <c r="A70" s="310"/>
      <c r="B70" s="312"/>
      <c r="C70" s="5"/>
      <c r="D70" s="6" t="s">
        <v>123</v>
      </c>
      <c r="E70" s="17" t="s">
        <v>88</v>
      </c>
      <c r="F70" s="17"/>
      <c r="G70" s="17"/>
      <c r="H70" s="20"/>
      <c r="I70" s="17"/>
      <c r="J70" s="17"/>
      <c r="K70" s="17"/>
      <c r="L70" s="37"/>
      <c r="M70" s="37"/>
      <c r="N70" s="37"/>
      <c r="O70" s="37"/>
      <c r="P70" s="37"/>
      <c r="Q70" s="37"/>
      <c r="R70" s="69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69"/>
      <c r="AD70" s="17"/>
      <c r="AE70" s="17"/>
      <c r="AF70" s="17"/>
      <c r="AG70" s="17"/>
      <c r="AH70" s="17"/>
      <c r="AI70" s="17"/>
      <c r="AJ70" s="17"/>
      <c r="AK70" s="44"/>
      <c r="AM70" s="10">
        <v>21</v>
      </c>
      <c r="AN70" s="129" t="s">
        <v>247</v>
      </c>
      <c r="AO70" s="34" t="s">
        <v>248</v>
      </c>
      <c r="AP70" s="158"/>
      <c r="AQ70" s="158"/>
      <c r="AR70" s="164"/>
      <c r="AS70" s="9"/>
    </row>
    <row r="71" spans="1:45" ht="15.75">
      <c r="A71" s="310"/>
      <c r="B71" s="312"/>
      <c r="C71" s="5">
        <v>1</v>
      </c>
      <c r="D71" s="6" t="s">
        <v>127</v>
      </c>
      <c r="E71" s="36" t="s">
        <v>115</v>
      </c>
      <c r="F71" s="18" t="s">
        <v>74</v>
      </c>
      <c r="G71" s="18" t="s">
        <v>36</v>
      </c>
      <c r="H71" s="22" t="s">
        <v>117</v>
      </c>
      <c r="I71" s="18" t="s">
        <v>227</v>
      </c>
      <c r="J71" s="18" t="s">
        <v>300</v>
      </c>
      <c r="K71" s="18" t="s">
        <v>137</v>
      </c>
      <c r="L71" s="16" t="s">
        <v>40</v>
      </c>
      <c r="M71" s="18" t="s">
        <v>270</v>
      </c>
      <c r="N71" s="18" t="s">
        <v>121</v>
      </c>
      <c r="O71" s="18" t="s">
        <v>30</v>
      </c>
      <c r="P71" s="22" t="s">
        <v>29</v>
      </c>
      <c r="Q71" s="18" t="s">
        <v>241</v>
      </c>
      <c r="R71" s="22" t="s">
        <v>28</v>
      </c>
      <c r="S71" s="18" t="s">
        <v>42</v>
      </c>
      <c r="T71" s="18" t="s">
        <v>251</v>
      </c>
      <c r="U71" s="18" t="s">
        <v>1</v>
      </c>
      <c r="V71" s="18" t="s">
        <v>244</v>
      </c>
      <c r="W71" s="18" t="s">
        <v>21</v>
      </c>
      <c r="X71" s="18" t="s">
        <v>25</v>
      </c>
      <c r="Y71" s="18" t="s">
        <v>34</v>
      </c>
      <c r="Z71" s="18" t="s">
        <v>111</v>
      </c>
      <c r="AA71" s="18" t="s">
        <v>4</v>
      </c>
      <c r="AB71" s="18" t="s">
        <v>119</v>
      </c>
      <c r="AC71" s="22" t="s">
        <v>18</v>
      </c>
      <c r="AD71" s="18" t="s">
        <v>33</v>
      </c>
      <c r="AE71" s="18" t="s">
        <v>37</v>
      </c>
      <c r="AF71" s="18" t="s">
        <v>113</v>
      </c>
      <c r="AG71" s="18" t="s">
        <v>39</v>
      </c>
      <c r="AH71" s="18" t="s">
        <v>10</v>
      </c>
      <c r="AI71" s="16" t="s">
        <v>27</v>
      </c>
      <c r="AJ71" s="18" t="s">
        <v>31</v>
      </c>
      <c r="AK71" s="45" t="s">
        <v>6</v>
      </c>
      <c r="AM71" s="10">
        <v>22</v>
      </c>
      <c r="AN71" s="129" t="s">
        <v>17</v>
      </c>
      <c r="AO71" s="34" t="s">
        <v>55</v>
      </c>
      <c r="AP71" s="161"/>
      <c r="AQ71" s="161"/>
      <c r="AR71" s="163"/>
      <c r="AS71" s="9"/>
    </row>
    <row r="72" spans="1:45" ht="15.75">
      <c r="A72" s="310"/>
      <c r="B72" s="312"/>
      <c r="C72" s="5">
        <v>2</v>
      </c>
      <c r="D72" s="6" t="s">
        <v>128</v>
      </c>
      <c r="E72" s="36" t="s">
        <v>115</v>
      </c>
      <c r="F72" s="18" t="s">
        <v>74</v>
      </c>
      <c r="G72" s="18" t="s">
        <v>36</v>
      </c>
      <c r="H72" s="22" t="s">
        <v>117</v>
      </c>
      <c r="I72" s="18" t="s">
        <v>227</v>
      </c>
      <c r="J72" s="22" t="s">
        <v>300</v>
      </c>
      <c r="K72" s="22" t="s">
        <v>137</v>
      </c>
      <c r="L72" s="16" t="s">
        <v>40</v>
      </c>
      <c r="M72" s="18" t="s">
        <v>270</v>
      </c>
      <c r="N72" s="18" t="s">
        <v>121</v>
      </c>
      <c r="O72" s="18" t="s">
        <v>30</v>
      </c>
      <c r="P72" s="18" t="s">
        <v>29</v>
      </c>
      <c r="Q72" s="18" t="s">
        <v>241</v>
      </c>
      <c r="R72" s="22" t="s">
        <v>28</v>
      </c>
      <c r="S72" s="18" t="s">
        <v>42</v>
      </c>
      <c r="T72" s="18" t="s">
        <v>251</v>
      </c>
      <c r="U72" s="18" t="s">
        <v>1</v>
      </c>
      <c r="V72" s="18" t="s">
        <v>244</v>
      </c>
      <c r="W72" s="18" t="s">
        <v>21</v>
      </c>
      <c r="X72" s="18" t="s">
        <v>25</v>
      </c>
      <c r="Y72" s="18" t="s">
        <v>34</v>
      </c>
      <c r="Z72" s="18" t="s">
        <v>111</v>
      </c>
      <c r="AA72" s="18" t="s">
        <v>4</v>
      </c>
      <c r="AB72" s="18" t="s">
        <v>14</v>
      </c>
      <c r="AC72" s="22" t="s">
        <v>18</v>
      </c>
      <c r="AD72" s="18" t="s">
        <v>33</v>
      </c>
      <c r="AE72" s="18" t="s">
        <v>37</v>
      </c>
      <c r="AF72" s="18" t="s">
        <v>113</v>
      </c>
      <c r="AG72" s="18" t="s">
        <v>39</v>
      </c>
      <c r="AH72" s="18" t="s">
        <v>10</v>
      </c>
      <c r="AI72" s="16" t="s">
        <v>27</v>
      </c>
      <c r="AJ72" s="18" t="s">
        <v>31</v>
      </c>
      <c r="AK72" s="45" t="s">
        <v>6</v>
      </c>
      <c r="AM72" s="10">
        <v>23</v>
      </c>
      <c r="AN72" s="129" t="s">
        <v>18</v>
      </c>
      <c r="AO72" s="34" t="s">
        <v>133</v>
      </c>
      <c r="AP72" s="161"/>
      <c r="AQ72" s="161"/>
      <c r="AR72" s="163"/>
      <c r="AS72" s="9"/>
    </row>
    <row r="73" spans="1:45" ht="17.25" customHeight="1">
      <c r="A73" s="310"/>
      <c r="B73" s="312"/>
      <c r="C73" s="5">
        <v>3</v>
      </c>
      <c r="D73" s="6" t="s">
        <v>129</v>
      </c>
      <c r="E73" s="18" t="s">
        <v>20</v>
      </c>
      <c r="F73" s="16" t="s">
        <v>276</v>
      </c>
      <c r="G73" s="18" t="s">
        <v>111</v>
      </c>
      <c r="H73" s="22" t="s">
        <v>15</v>
      </c>
      <c r="I73" s="18" t="s">
        <v>43</v>
      </c>
      <c r="J73" s="22" t="s">
        <v>148</v>
      </c>
      <c r="K73" s="36" t="s">
        <v>272</v>
      </c>
      <c r="L73" s="16" t="s">
        <v>274</v>
      </c>
      <c r="M73" s="18" t="s">
        <v>250</v>
      </c>
      <c r="N73" s="18" t="s">
        <v>113</v>
      </c>
      <c r="O73" s="18" t="s">
        <v>121</v>
      </c>
      <c r="P73" s="22" t="s">
        <v>16</v>
      </c>
      <c r="Q73" s="22" t="s">
        <v>7</v>
      </c>
      <c r="R73" s="74" t="s">
        <v>244</v>
      </c>
      <c r="S73" s="21" t="s">
        <v>19</v>
      </c>
      <c r="T73" s="38" t="s">
        <v>28</v>
      </c>
      <c r="U73" s="93" t="s">
        <v>108</v>
      </c>
      <c r="V73" s="38" t="s">
        <v>1</v>
      </c>
      <c r="W73" s="38" t="s">
        <v>234</v>
      </c>
      <c r="X73" s="38" t="s">
        <v>99</v>
      </c>
      <c r="Y73" s="38" t="s">
        <v>25</v>
      </c>
      <c r="Z73" s="38" t="s">
        <v>34</v>
      </c>
      <c r="AA73" s="38" t="s">
        <v>74</v>
      </c>
      <c r="AB73" s="55" t="s">
        <v>14</v>
      </c>
      <c r="AC73" s="74" t="s">
        <v>33</v>
      </c>
      <c r="AD73" s="18" t="s">
        <v>103</v>
      </c>
      <c r="AE73" s="22" t="s">
        <v>26</v>
      </c>
      <c r="AF73" s="18" t="s">
        <v>37</v>
      </c>
      <c r="AG73" s="18" t="s">
        <v>229</v>
      </c>
      <c r="AH73" s="18" t="s">
        <v>39</v>
      </c>
      <c r="AI73" s="22" t="s">
        <v>10</v>
      </c>
      <c r="AJ73" s="43" t="s">
        <v>12</v>
      </c>
      <c r="AK73" s="16" t="s">
        <v>27</v>
      </c>
      <c r="AM73" s="10">
        <v>24</v>
      </c>
      <c r="AN73" s="129" t="s">
        <v>19</v>
      </c>
      <c r="AO73" s="34" t="s">
        <v>56</v>
      </c>
      <c r="AP73" s="161"/>
      <c r="AQ73" s="161"/>
      <c r="AR73" s="163"/>
      <c r="AS73" s="9"/>
    </row>
    <row r="74" spans="1:45" ht="16.5" customHeight="1">
      <c r="A74" s="310"/>
      <c r="B74" s="312"/>
      <c r="C74" s="5">
        <v>4</v>
      </c>
      <c r="D74" s="6" t="s">
        <v>130</v>
      </c>
      <c r="E74" s="18" t="s">
        <v>20</v>
      </c>
      <c r="F74" s="16" t="s">
        <v>276</v>
      </c>
      <c r="G74" s="18" t="s">
        <v>111</v>
      </c>
      <c r="H74" s="22" t="s">
        <v>15</v>
      </c>
      <c r="I74" s="18" t="s">
        <v>43</v>
      </c>
      <c r="J74" s="22" t="s">
        <v>148</v>
      </c>
      <c r="K74" s="36" t="s">
        <v>272</v>
      </c>
      <c r="L74" s="16" t="s">
        <v>274</v>
      </c>
      <c r="M74" s="18" t="s">
        <v>250</v>
      </c>
      <c r="N74" s="18" t="s">
        <v>113</v>
      </c>
      <c r="O74" s="21" t="s">
        <v>121</v>
      </c>
      <c r="P74" s="22" t="s">
        <v>16</v>
      </c>
      <c r="Q74" s="22" t="s">
        <v>7</v>
      </c>
      <c r="R74" s="22" t="s">
        <v>29</v>
      </c>
      <c r="S74" s="21" t="s">
        <v>19</v>
      </c>
      <c r="T74" s="18" t="s">
        <v>28</v>
      </c>
      <c r="U74" s="93" t="s">
        <v>108</v>
      </c>
      <c r="V74" s="18" t="s">
        <v>1</v>
      </c>
      <c r="W74" s="18" t="s">
        <v>234</v>
      </c>
      <c r="X74" s="18" t="s">
        <v>99</v>
      </c>
      <c r="Y74" s="18" t="s">
        <v>25</v>
      </c>
      <c r="Z74" s="18" t="s">
        <v>34</v>
      </c>
      <c r="AA74" s="55" t="s">
        <v>74</v>
      </c>
      <c r="AB74" s="18" t="s">
        <v>18</v>
      </c>
      <c r="AC74" s="22" t="s">
        <v>33</v>
      </c>
      <c r="AD74" s="18" t="s">
        <v>103</v>
      </c>
      <c r="AE74" s="22" t="s">
        <v>26</v>
      </c>
      <c r="AF74" s="18" t="s">
        <v>37</v>
      </c>
      <c r="AG74" s="18" t="s">
        <v>229</v>
      </c>
      <c r="AH74" s="18" t="s">
        <v>39</v>
      </c>
      <c r="AI74" s="22" t="s">
        <v>10</v>
      </c>
      <c r="AJ74" s="43" t="s">
        <v>12</v>
      </c>
      <c r="AK74" s="16" t="s">
        <v>27</v>
      </c>
      <c r="AM74" s="10">
        <v>25</v>
      </c>
      <c r="AN74" s="129" t="s">
        <v>229</v>
      </c>
      <c r="AO74" s="34" t="s">
        <v>233</v>
      </c>
      <c r="AP74" s="158"/>
      <c r="AQ74" s="158"/>
      <c r="AR74" s="163"/>
      <c r="AS74" s="9"/>
    </row>
    <row r="75" spans="1:45" ht="15.75">
      <c r="A75" s="310"/>
      <c r="B75" s="312"/>
      <c r="C75" s="5"/>
      <c r="D75" s="7" t="s">
        <v>124</v>
      </c>
      <c r="E75" s="17" t="s">
        <v>97</v>
      </c>
      <c r="F75" s="17"/>
      <c r="G75" s="37"/>
      <c r="H75" s="20"/>
      <c r="I75" s="17"/>
      <c r="J75" s="79"/>
      <c r="K75" s="79"/>
      <c r="L75" s="80"/>
      <c r="M75" s="80"/>
      <c r="N75" s="80"/>
      <c r="O75" s="80"/>
      <c r="P75" s="79"/>
      <c r="Q75" s="17"/>
      <c r="R75" s="20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20"/>
      <c r="AD75" s="17"/>
      <c r="AE75" s="17"/>
      <c r="AF75" s="17"/>
      <c r="AG75" s="17" t="s">
        <v>309</v>
      </c>
      <c r="AH75" s="17"/>
      <c r="AI75" s="17"/>
      <c r="AJ75" s="17"/>
      <c r="AK75" s="44"/>
      <c r="AM75" s="10">
        <v>26</v>
      </c>
      <c r="AN75" s="149" t="s">
        <v>145</v>
      </c>
      <c r="AO75" s="158" t="s">
        <v>146</v>
      </c>
      <c r="AP75" s="158"/>
      <c r="AQ75" s="158"/>
      <c r="AR75" s="163"/>
      <c r="AS75" s="9"/>
    </row>
    <row r="76" spans="1:45" ht="15.75">
      <c r="A76" s="310"/>
      <c r="B76" s="312"/>
      <c r="C76" s="5">
        <v>5</v>
      </c>
      <c r="D76" s="42" t="s">
        <v>131</v>
      </c>
      <c r="E76" s="22" t="s">
        <v>299</v>
      </c>
      <c r="F76" s="22" t="s">
        <v>270</v>
      </c>
      <c r="G76" s="16" t="s">
        <v>276</v>
      </c>
      <c r="H76" s="22" t="s">
        <v>36</v>
      </c>
      <c r="I76" s="22" t="s">
        <v>234</v>
      </c>
      <c r="J76" s="22" t="s">
        <v>227</v>
      </c>
      <c r="K76" s="22" t="s">
        <v>43</v>
      </c>
      <c r="L76" s="22" t="s">
        <v>6</v>
      </c>
      <c r="M76" s="18" t="s">
        <v>272</v>
      </c>
      <c r="N76" s="22" t="s">
        <v>20</v>
      </c>
      <c r="O76" s="22" t="s">
        <v>99</v>
      </c>
      <c r="P76" s="22" t="s">
        <v>7</v>
      </c>
      <c r="Q76" s="22" t="s">
        <v>21</v>
      </c>
      <c r="R76" s="22" t="s">
        <v>29</v>
      </c>
      <c r="S76" s="18" t="s">
        <v>244</v>
      </c>
      <c r="T76" s="93" t="s">
        <v>108</v>
      </c>
      <c r="U76" s="18" t="s">
        <v>98</v>
      </c>
      <c r="V76" s="18" t="s">
        <v>274</v>
      </c>
      <c r="W76" s="18" t="s">
        <v>1</v>
      </c>
      <c r="X76" s="18" t="s">
        <v>247</v>
      </c>
      <c r="Y76" s="18" t="s">
        <v>111</v>
      </c>
      <c r="Z76" s="16" t="s">
        <v>25</v>
      </c>
      <c r="AA76" s="18" t="s">
        <v>14</v>
      </c>
      <c r="AB76" s="18" t="s">
        <v>74</v>
      </c>
      <c r="AC76" s="18" t="s">
        <v>103</v>
      </c>
      <c r="AD76" s="18" t="s">
        <v>113</v>
      </c>
      <c r="AE76" s="22" t="s">
        <v>16</v>
      </c>
      <c r="AF76" s="22" t="s">
        <v>229</v>
      </c>
      <c r="AG76" s="22" t="s">
        <v>8</v>
      </c>
      <c r="AH76" s="43" t="s">
        <v>12</v>
      </c>
      <c r="AI76" s="16" t="s">
        <v>17</v>
      </c>
      <c r="AJ76" s="18" t="s">
        <v>10</v>
      </c>
      <c r="AK76" s="45" t="s">
        <v>121</v>
      </c>
      <c r="AM76" s="10">
        <v>27</v>
      </c>
      <c r="AN76" s="129" t="s">
        <v>137</v>
      </c>
      <c r="AO76" s="34" t="s">
        <v>138</v>
      </c>
      <c r="AP76" s="165"/>
      <c r="AQ76" s="161"/>
      <c r="AR76" s="163"/>
      <c r="AS76" s="9"/>
    </row>
    <row r="77" spans="1:45" ht="15.75">
      <c r="A77" s="310"/>
      <c r="B77" s="312"/>
      <c r="C77" s="5">
        <v>6</v>
      </c>
      <c r="D77" s="42" t="s">
        <v>132</v>
      </c>
      <c r="E77" s="22" t="s">
        <v>299</v>
      </c>
      <c r="F77" s="22" t="s">
        <v>270</v>
      </c>
      <c r="G77" s="18" t="s">
        <v>15</v>
      </c>
      <c r="H77" s="22" t="s">
        <v>36</v>
      </c>
      <c r="I77" s="22" t="s">
        <v>234</v>
      </c>
      <c r="J77" s="22" t="s">
        <v>227</v>
      </c>
      <c r="K77" s="22" t="s">
        <v>43</v>
      </c>
      <c r="L77" s="22" t="s">
        <v>6</v>
      </c>
      <c r="M77" s="16" t="s">
        <v>272</v>
      </c>
      <c r="N77" s="22" t="s">
        <v>20</v>
      </c>
      <c r="O77" s="22" t="s">
        <v>99</v>
      </c>
      <c r="P77" s="22" t="s">
        <v>7</v>
      </c>
      <c r="Q77" s="18" t="s">
        <v>21</v>
      </c>
      <c r="R77" s="22" t="s">
        <v>19</v>
      </c>
      <c r="S77" s="18" t="s">
        <v>244</v>
      </c>
      <c r="T77" s="93" t="s">
        <v>108</v>
      </c>
      <c r="U77" s="18" t="s">
        <v>98</v>
      </c>
      <c r="V77" s="18" t="s">
        <v>274</v>
      </c>
      <c r="W77" s="18" t="s">
        <v>1</v>
      </c>
      <c r="X77" s="18" t="s">
        <v>247</v>
      </c>
      <c r="Y77" s="18" t="s">
        <v>111</v>
      </c>
      <c r="Z77" s="204" t="s">
        <v>25</v>
      </c>
      <c r="AA77" s="18" t="s">
        <v>18</v>
      </c>
      <c r="AB77" s="18" t="s">
        <v>74</v>
      </c>
      <c r="AC77" s="18" t="s">
        <v>103</v>
      </c>
      <c r="AD77" s="18" t="s">
        <v>113</v>
      </c>
      <c r="AE77" s="22" t="s">
        <v>16</v>
      </c>
      <c r="AF77" s="22" t="s">
        <v>229</v>
      </c>
      <c r="AG77" s="22" t="s">
        <v>8</v>
      </c>
      <c r="AH77" s="43" t="s">
        <v>12</v>
      </c>
      <c r="AI77" s="16" t="s">
        <v>17</v>
      </c>
      <c r="AJ77" s="18" t="s">
        <v>10</v>
      </c>
      <c r="AK77" s="45" t="s">
        <v>121</v>
      </c>
      <c r="AM77" s="10">
        <v>28</v>
      </c>
      <c r="AN77" s="129" t="s">
        <v>20</v>
      </c>
      <c r="AO77" s="34" t="s">
        <v>57</v>
      </c>
      <c r="AP77" s="161"/>
      <c r="AQ77" s="161"/>
      <c r="AR77" s="163"/>
      <c r="AS77" s="9"/>
    </row>
    <row r="78" spans="1:45" ht="15" customHeight="1" thickBot="1">
      <c r="A78" s="310"/>
      <c r="B78" s="312"/>
      <c r="C78" s="5"/>
      <c r="D78" s="6" t="s">
        <v>134</v>
      </c>
      <c r="E78" s="53" t="s">
        <v>136</v>
      </c>
      <c r="F78" s="53"/>
      <c r="G78" s="54"/>
      <c r="H78" s="53"/>
      <c r="I78" s="53"/>
      <c r="J78" s="53"/>
      <c r="K78" s="53"/>
      <c r="L78" s="54"/>
      <c r="M78" s="54"/>
      <c r="N78" s="54"/>
      <c r="O78" s="54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61"/>
      <c r="AH78" s="61"/>
      <c r="AI78" s="61"/>
      <c r="AJ78" s="61"/>
      <c r="AK78" s="205"/>
      <c r="AM78" s="10">
        <v>29</v>
      </c>
      <c r="AN78" s="129" t="s">
        <v>21</v>
      </c>
      <c r="AO78" s="34" t="s">
        <v>58</v>
      </c>
      <c r="AP78" s="161"/>
      <c r="AQ78" s="161"/>
      <c r="AR78" s="163"/>
    </row>
    <row r="79" spans="1:45" ht="16.5" thickTop="1">
      <c r="A79" s="310"/>
      <c r="B79" s="312"/>
      <c r="C79" s="5">
        <v>7</v>
      </c>
      <c r="D79" s="6" t="s">
        <v>143</v>
      </c>
      <c r="E79" s="18" t="s">
        <v>299</v>
      </c>
      <c r="F79" s="18" t="s">
        <v>234</v>
      </c>
      <c r="G79" s="18" t="s">
        <v>15</v>
      </c>
      <c r="H79" s="22" t="s">
        <v>270</v>
      </c>
      <c r="I79" s="18" t="s">
        <v>36</v>
      </c>
      <c r="J79" s="16" t="s">
        <v>276</v>
      </c>
      <c r="K79" s="18" t="s">
        <v>227</v>
      </c>
      <c r="L79" s="18" t="s">
        <v>20</v>
      </c>
      <c r="M79" s="18" t="s">
        <v>6</v>
      </c>
      <c r="N79" s="18" t="s">
        <v>99</v>
      </c>
      <c r="O79" s="18" t="s">
        <v>113</v>
      </c>
      <c r="P79" s="215"/>
      <c r="Q79" s="215"/>
      <c r="R79" s="215"/>
      <c r="S79" s="215"/>
      <c r="T79" s="215"/>
      <c r="U79" s="215"/>
      <c r="V79" s="18" t="s">
        <v>251</v>
      </c>
      <c r="W79" s="18" t="s">
        <v>247</v>
      </c>
      <c r="X79" s="18" t="s">
        <v>244</v>
      </c>
      <c r="Y79" s="18" t="s">
        <v>272</v>
      </c>
      <c r="Z79" s="18" t="s">
        <v>29</v>
      </c>
      <c r="AA79" s="230"/>
      <c r="AB79" s="230"/>
      <c r="AC79" s="230"/>
      <c r="AD79" s="230"/>
      <c r="AE79" s="230"/>
      <c r="AF79" s="231"/>
      <c r="AG79" s="236" t="s">
        <v>4</v>
      </c>
      <c r="AH79" s="196" t="s">
        <v>111</v>
      </c>
      <c r="AI79" s="43" t="s">
        <v>12</v>
      </c>
      <c r="AJ79" s="16" t="s">
        <v>17</v>
      </c>
      <c r="AK79" s="197" t="s">
        <v>43</v>
      </c>
      <c r="AM79" s="10">
        <v>30</v>
      </c>
      <c r="AN79" s="129" t="s">
        <v>22</v>
      </c>
      <c r="AO79" s="34" t="s">
        <v>59</v>
      </c>
      <c r="AP79" s="161"/>
      <c r="AQ79" s="161"/>
      <c r="AR79" s="163"/>
      <c r="AS79" s="9"/>
    </row>
    <row r="80" spans="1:45" ht="16.5" thickBot="1">
      <c r="A80" s="325"/>
      <c r="B80" s="326"/>
      <c r="C80" s="48">
        <v>8</v>
      </c>
      <c r="D80" s="49" t="s">
        <v>144</v>
      </c>
      <c r="E80" s="50" t="s">
        <v>8</v>
      </c>
      <c r="F80" s="50" t="s">
        <v>234</v>
      </c>
      <c r="G80" s="50" t="s">
        <v>301</v>
      </c>
      <c r="H80" s="51" t="s">
        <v>270</v>
      </c>
      <c r="I80" s="50" t="s">
        <v>36</v>
      </c>
      <c r="J80" s="16" t="s">
        <v>276</v>
      </c>
      <c r="K80" s="50" t="s">
        <v>227</v>
      </c>
      <c r="L80" s="50" t="s">
        <v>20</v>
      </c>
      <c r="M80" s="50" t="s">
        <v>6</v>
      </c>
      <c r="N80" s="50" t="s">
        <v>99</v>
      </c>
      <c r="O80" s="50" t="s">
        <v>113</v>
      </c>
      <c r="P80" s="220"/>
      <c r="Q80" s="221"/>
      <c r="R80" s="221"/>
      <c r="S80" s="221"/>
      <c r="T80" s="221"/>
      <c r="U80" s="221"/>
      <c r="V80" s="50" t="s">
        <v>251</v>
      </c>
      <c r="W80" s="50" t="s">
        <v>247</v>
      </c>
      <c r="X80" s="50" t="s">
        <v>244</v>
      </c>
      <c r="Y80" s="50" t="s">
        <v>272</v>
      </c>
      <c r="Z80" s="50" t="s">
        <v>29</v>
      </c>
      <c r="AA80" s="232"/>
      <c r="AB80" s="232"/>
      <c r="AC80" s="232"/>
      <c r="AD80" s="232"/>
      <c r="AE80" s="232"/>
      <c r="AF80" s="233"/>
      <c r="AG80" s="237" t="s">
        <v>4</v>
      </c>
      <c r="AH80" s="200" t="s">
        <v>111</v>
      </c>
      <c r="AI80" s="43" t="s">
        <v>12</v>
      </c>
      <c r="AJ80" s="16" t="s">
        <v>17</v>
      </c>
      <c r="AK80" s="201" t="s">
        <v>43</v>
      </c>
      <c r="AM80" s="10">
        <v>31</v>
      </c>
      <c r="AN80" s="129" t="s">
        <v>23</v>
      </c>
      <c r="AO80" s="34" t="s">
        <v>60</v>
      </c>
      <c r="AP80" s="161"/>
      <c r="AQ80" s="161"/>
      <c r="AR80" s="163"/>
      <c r="AS80" s="9"/>
    </row>
    <row r="81" spans="1:45" ht="15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5"/>
      <c r="S81" s="3"/>
      <c r="T81" s="3"/>
      <c r="U81" s="3"/>
      <c r="V81" s="3"/>
      <c r="W81" s="3"/>
      <c r="X81" s="3"/>
      <c r="Y81" s="3"/>
      <c r="Z81" s="3"/>
      <c r="AA81" s="3"/>
      <c r="AB81" s="3"/>
      <c r="AC81" s="15"/>
      <c r="AD81" s="3"/>
      <c r="AE81" s="3"/>
      <c r="AF81" s="3"/>
      <c r="AG81" s="3"/>
      <c r="AH81" s="3"/>
      <c r="AI81" s="3"/>
      <c r="AJ81" s="3"/>
      <c r="AK81" s="3"/>
      <c r="AM81" s="10">
        <v>32</v>
      </c>
      <c r="AN81" s="129" t="s">
        <v>24</v>
      </c>
      <c r="AO81" s="34" t="s">
        <v>61</v>
      </c>
      <c r="AP81" s="161"/>
      <c r="AQ81" s="161"/>
      <c r="AR81" s="163"/>
      <c r="AS81" s="9"/>
    </row>
    <row r="82" spans="1:45" ht="15.75">
      <c r="D82" s="206"/>
      <c r="AB82" t="s">
        <v>307</v>
      </c>
      <c r="AM82" s="10">
        <v>33</v>
      </c>
      <c r="AN82" s="129" t="s">
        <v>115</v>
      </c>
      <c r="AO82" s="34" t="s">
        <v>116</v>
      </c>
      <c r="AP82" s="161"/>
      <c r="AQ82" s="161"/>
      <c r="AR82" s="163"/>
      <c r="AS82" s="9"/>
    </row>
    <row r="83" spans="1:45" ht="15.75">
      <c r="D83" s="206"/>
      <c r="AB83" t="s">
        <v>364</v>
      </c>
      <c r="AM83" s="10">
        <v>34</v>
      </c>
      <c r="AN83" s="129" t="s">
        <v>117</v>
      </c>
      <c r="AO83" s="34" t="s">
        <v>118</v>
      </c>
      <c r="AP83" s="161"/>
      <c r="AQ83" s="161"/>
      <c r="AR83" s="163"/>
      <c r="AS83" s="9"/>
    </row>
    <row r="84" spans="1:45" ht="15.75">
      <c r="AM84" s="10">
        <v>35</v>
      </c>
      <c r="AN84" s="129" t="s">
        <v>250</v>
      </c>
      <c r="AO84" s="34" t="s">
        <v>249</v>
      </c>
      <c r="AP84" s="158"/>
      <c r="AQ84" s="158"/>
      <c r="AR84" s="164"/>
      <c r="AS84" s="9"/>
    </row>
    <row r="85" spans="1:45" ht="15.75">
      <c r="AM85" s="10">
        <v>36</v>
      </c>
      <c r="AN85" s="129" t="s">
        <v>25</v>
      </c>
      <c r="AO85" s="34" t="s">
        <v>62</v>
      </c>
      <c r="AP85" s="161"/>
      <c r="AQ85" s="161"/>
      <c r="AR85" s="163"/>
      <c r="AS85" s="9"/>
    </row>
    <row r="86" spans="1:45" ht="15.75">
      <c r="AB86" t="s">
        <v>365</v>
      </c>
      <c r="AM86" s="10">
        <v>37</v>
      </c>
      <c r="AN86" s="129" t="s">
        <v>26</v>
      </c>
      <c r="AO86" s="34" t="s">
        <v>63</v>
      </c>
      <c r="AP86" s="158"/>
      <c r="AQ86" s="158"/>
      <c r="AR86" s="164"/>
      <c r="AS86" s="9"/>
    </row>
    <row r="87" spans="1:45" ht="15.75">
      <c r="AM87" s="10">
        <v>38</v>
      </c>
      <c r="AN87" s="129" t="s">
        <v>27</v>
      </c>
      <c r="AO87" s="34" t="s">
        <v>64</v>
      </c>
      <c r="AP87" s="161"/>
      <c r="AQ87" s="161"/>
      <c r="AR87" s="163"/>
    </row>
    <row r="88" spans="1:45" ht="15.75">
      <c r="AM88" s="10">
        <v>39</v>
      </c>
      <c r="AN88" s="129" t="s">
        <v>28</v>
      </c>
      <c r="AO88" s="34" t="s">
        <v>65</v>
      </c>
      <c r="AP88" s="161"/>
      <c r="AQ88" s="161"/>
      <c r="AR88" s="163"/>
    </row>
    <row r="89" spans="1:45" ht="15.75">
      <c r="AM89" s="10">
        <v>40</v>
      </c>
      <c r="AN89" s="129" t="s">
        <v>74</v>
      </c>
      <c r="AO89" s="34" t="s">
        <v>75</v>
      </c>
      <c r="AP89" s="161"/>
      <c r="AQ89" s="161"/>
      <c r="AR89" s="163"/>
    </row>
    <row r="90" spans="1:45" ht="15.75">
      <c r="AM90" s="10">
        <v>41</v>
      </c>
      <c r="AN90" s="129" t="s">
        <v>140</v>
      </c>
      <c r="AO90" s="34" t="s">
        <v>141</v>
      </c>
      <c r="AP90" s="161"/>
      <c r="AQ90" s="161"/>
      <c r="AR90" s="163"/>
    </row>
    <row r="91" spans="1:45" ht="15.75">
      <c r="AM91" s="10">
        <v>42</v>
      </c>
      <c r="AN91" s="129" t="s">
        <v>231</v>
      </c>
      <c r="AO91" s="34" t="s">
        <v>232</v>
      </c>
      <c r="AP91" s="158"/>
      <c r="AQ91" s="158"/>
      <c r="AR91" s="163"/>
    </row>
    <row r="92" spans="1:45" ht="15.75">
      <c r="AM92" s="10">
        <v>43</v>
      </c>
      <c r="AN92" s="129" t="s">
        <v>244</v>
      </c>
      <c r="AO92" s="34" t="s">
        <v>246</v>
      </c>
      <c r="AP92" s="158"/>
      <c r="AQ92" s="158"/>
      <c r="AR92" s="164"/>
    </row>
    <row r="93" spans="1:45" ht="15.75">
      <c r="AM93" s="10">
        <v>44</v>
      </c>
      <c r="AN93" s="129" t="s">
        <v>30</v>
      </c>
      <c r="AO93" s="34" t="s">
        <v>67</v>
      </c>
      <c r="AP93" s="161"/>
      <c r="AQ93" s="161"/>
      <c r="AR93" s="163"/>
      <c r="AS93" s="68"/>
    </row>
    <row r="94" spans="1:45" ht="15.75">
      <c r="AM94" s="10">
        <v>45</v>
      </c>
      <c r="AN94" s="129" t="s">
        <v>31</v>
      </c>
      <c r="AO94" s="34" t="s">
        <v>68</v>
      </c>
      <c r="AP94" s="161"/>
      <c r="AQ94" s="161"/>
      <c r="AR94" s="163"/>
    </row>
    <row r="95" spans="1:45" ht="15.75">
      <c r="AM95" s="10">
        <v>46</v>
      </c>
      <c r="AN95" s="129" t="s">
        <v>32</v>
      </c>
      <c r="AO95" s="34" t="s">
        <v>69</v>
      </c>
      <c r="AP95" s="161"/>
      <c r="AQ95" s="161"/>
      <c r="AR95" s="163"/>
    </row>
    <row r="96" spans="1:45" ht="15.75">
      <c r="AM96" s="10">
        <v>47</v>
      </c>
      <c r="AN96" s="129" t="s">
        <v>33</v>
      </c>
      <c r="AO96" s="34" t="s">
        <v>283</v>
      </c>
      <c r="AP96" s="161"/>
      <c r="AQ96" s="161"/>
      <c r="AR96" s="163"/>
    </row>
    <row r="97" spans="38:45" ht="15.75">
      <c r="AM97" s="10">
        <v>48</v>
      </c>
      <c r="AN97" s="129" t="s">
        <v>34</v>
      </c>
      <c r="AO97" s="34" t="s">
        <v>35</v>
      </c>
      <c r="AP97" s="161"/>
      <c r="AQ97" s="161"/>
      <c r="AR97" s="163"/>
    </row>
    <row r="98" spans="38:45" ht="15.75">
      <c r="AM98" s="10">
        <v>49</v>
      </c>
      <c r="AN98" s="129" t="s">
        <v>36</v>
      </c>
      <c r="AO98" s="34" t="s">
        <v>239</v>
      </c>
      <c r="AP98" s="161"/>
      <c r="AQ98" s="161"/>
      <c r="AR98" s="163"/>
    </row>
    <row r="99" spans="38:45" ht="15.75">
      <c r="AM99" s="10">
        <v>50</v>
      </c>
      <c r="AN99" s="129" t="s">
        <v>37</v>
      </c>
      <c r="AO99" s="34" t="s">
        <v>38</v>
      </c>
      <c r="AP99" s="161"/>
      <c r="AQ99" s="161"/>
      <c r="AR99" s="163"/>
    </row>
    <row r="100" spans="38:45" ht="15.75">
      <c r="AM100" s="10">
        <v>51</v>
      </c>
      <c r="AN100" s="129" t="s">
        <v>121</v>
      </c>
      <c r="AO100" s="34" t="s">
        <v>122</v>
      </c>
      <c r="AP100" s="161"/>
      <c r="AQ100" s="165"/>
      <c r="AR100" s="162"/>
    </row>
    <row r="101" spans="38:45" ht="15.75">
      <c r="AM101" s="10">
        <v>52</v>
      </c>
      <c r="AN101" s="129" t="s">
        <v>39</v>
      </c>
      <c r="AO101" s="34" t="s">
        <v>70</v>
      </c>
      <c r="AP101" s="161"/>
      <c r="AQ101" s="165"/>
      <c r="AR101" s="163"/>
    </row>
    <row r="102" spans="38:45" ht="15.75">
      <c r="AM102" s="10">
        <v>53</v>
      </c>
      <c r="AN102" s="129" t="s">
        <v>40</v>
      </c>
      <c r="AO102" s="34" t="s">
        <v>126</v>
      </c>
      <c r="AP102" s="161"/>
      <c r="AQ102" s="161"/>
      <c r="AR102" s="163"/>
    </row>
    <row r="103" spans="38:45" ht="15.75">
      <c r="AM103" s="10">
        <v>54</v>
      </c>
      <c r="AN103" s="129" t="s">
        <v>41</v>
      </c>
      <c r="AO103" s="34" t="s">
        <v>71</v>
      </c>
      <c r="AP103" s="161"/>
      <c r="AQ103" s="166"/>
      <c r="AR103" s="162"/>
    </row>
    <row r="104" spans="38:45" ht="15.75">
      <c r="AM104" s="10">
        <v>55</v>
      </c>
      <c r="AN104" s="129" t="s">
        <v>109</v>
      </c>
      <c r="AO104" s="34" t="s">
        <v>110</v>
      </c>
      <c r="AP104" s="161"/>
      <c r="AQ104" s="161"/>
      <c r="AR104" s="164"/>
    </row>
    <row r="105" spans="38:45" ht="15.75">
      <c r="AM105" s="10">
        <v>56</v>
      </c>
      <c r="AN105" s="129" t="s">
        <v>119</v>
      </c>
      <c r="AO105" s="34" t="s">
        <v>120</v>
      </c>
      <c r="AP105" s="166"/>
      <c r="AQ105" s="161"/>
      <c r="AR105" s="164"/>
    </row>
    <row r="106" spans="38:45" ht="15.75">
      <c r="AM106" s="10">
        <v>57</v>
      </c>
      <c r="AN106" s="129" t="s">
        <v>234</v>
      </c>
      <c r="AO106" s="34" t="s">
        <v>236</v>
      </c>
      <c r="AP106" s="158"/>
      <c r="AQ106" s="158"/>
      <c r="AR106" s="167"/>
    </row>
    <row r="107" spans="38:45" ht="15.75">
      <c r="AM107" s="10">
        <v>58</v>
      </c>
      <c r="AN107" s="129" t="s">
        <v>111</v>
      </c>
      <c r="AO107" s="34" t="s">
        <v>112</v>
      </c>
      <c r="AP107" s="161"/>
      <c r="AQ107" s="161"/>
      <c r="AR107" s="163"/>
    </row>
    <row r="108" spans="38:45" ht="15.75">
      <c r="AM108" s="10">
        <v>59</v>
      </c>
      <c r="AN108" s="129" t="s">
        <v>42</v>
      </c>
      <c r="AO108" s="34" t="s">
        <v>72</v>
      </c>
      <c r="AP108" s="161"/>
      <c r="AQ108" s="161"/>
      <c r="AR108" s="168"/>
    </row>
    <row r="109" spans="38:45" ht="15.75">
      <c r="AM109" s="10">
        <v>60</v>
      </c>
      <c r="AN109" s="129" t="s">
        <v>43</v>
      </c>
      <c r="AO109" s="34" t="s">
        <v>73</v>
      </c>
      <c r="AP109" s="161"/>
      <c r="AQ109" s="161"/>
      <c r="AR109" s="168"/>
    </row>
    <row r="110" spans="38:45" ht="15.75">
      <c r="AM110" s="10">
        <v>61</v>
      </c>
      <c r="AN110" s="129" t="s">
        <v>29</v>
      </c>
      <c r="AO110" s="34" t="s">
        <v>66</v>
      </c>
      <c r="AP110" s="161"/>
      <c r="AQ110" s="161"/>
      <c r="AR110" s="162"/>
    </row>
    <row r="111" spans="38:45" ht="15.75">
      <c r="AM111" s="10">
        <v>62</v>
      </c>
      <c r="AN111" s="129" t="s">
        <v>113</v>
      </c>
      <c r="AO111" s="34" t="s">
        <v>114</v>
      </c>
      <c r="AP111" s="161"/>
      <c r="AQ111" s="165"/>
      <c r="AR111" s="169"/>
    </row>
    <row r="112" spans="38:45" ht="15.75">
      <c r="AL112" s="1"/>
      <c r="AM112" s="10">
        <v>63</v>
      </c>
      <c r="AN112" s="129" t="s">
        <v>147</v>
      </c>
      <c r="AO112" s="34" t="s">
        <v>242</v>
      </c>
      <c r="AP112" s="158"/>
      <c r="AQ112" s="158"/>
      <c r="AR112" s="167"/>
      <c r="AS112" s="1"/>
    </row>
    <row r="113" spans="38:47" ht="15.75">
      <c r="AL113" s="1"/>
      <c r="AM113" s="10">
        <v>64</v>
      </c>
      <c r="AN113" s="129" t="s">
        <v>148</v>
      </c>
      <c r="AO113" s="34" t="s">
        <v>149</v>
      </c>
      <c r="AP113" s="158"/>
      <c r="AQ113" s="158"/>
      <c r="AR113" s="167"/>
      <c r="AS113" s="1"/>
      <c r="AT113" s="1"/>
    </row>
    <row r="114" spans="38:47" ht="15.75">
      <c r="AL114" s="1"/>
      <c r="AM114" s="10">
        <v>65</v>
      </c>
      <c r="AN114" s="129" t="s">
        <v>251</v>
      </c>
      <c r="AO114" s="34" t="s">
        <v>252</v>
      </c>
      <c r="AP114" s="158"/>
      <c r="AQ114" s="158"/>
      <c r="AR114" s="164"/>
      <c r="AS114" s="130"/>
      <c r="AT114" s="1"/>
    </row>
    <row r="115" spans="38:47" ht="15.75">
      <c r="AM115" s="10">
        <v>66</v>
      </c>
      <c r="AN115" s="129" t="s">
        <v>270</v>
      </c>
      <c r="AO115" s="34" t="s">
        <v>285</v>
      </c>
      <c r="AP115" s="158"/>
      <c r="AQ115" s="158"/>
      <c r="AR115" s="162" t="s">
        <v>206</v>
      </c>
      <c r="AT115" s="1"/>
    </row>
    <row r="116" spans="38:47" ht="15.75">
      <c r="AM116" s="10">
        <v>67</v>
      </c>
      <c r="AN116" s="129" t="s">
        <v>272</v>
      </c>
      <c r="AO116" s="34" t="s">
        <v>271</v>
      </c>
      <c r="AP116" s="158"/>
      <c r="AQ116" s="158"/>
      <c r="AR116" s="157" t="s">
        <v>286</v>
      </c>
      <c r="AS116" s="150"/>
      <c r="AT116" s="68"/>
      <c r="AU116" s="68"/>
    </row>
    <row r="117" spans="38:47" ht="15.75">
      <c r="AM117" s="10">
        <v>68</v>
      </c>
      <c r="AN117" s="129" t="s">
        <v>274</v>
      </c>
      <c r="AO117" s="34" t="s">
        <v>273</v>
      </c>
      <c r="AP117" s="158"/>
      <c r="AQ117" s="158"/>
      <c r="AR117" s="167" t="s">
        <v>139</v>
      </c>
      <c r="AS117" s="1"/>
      <c r="AT117" s="1"/>
    </row>
    <row r="118" spans="38:47" ht="15.75">
      <c r="AM118" s="10">
        <v>69</v>
      </c>
      <c r="AN118" s="129" t="s">
        <v>276</v>
      </c>
      <c r="AO118" s="34" t="s">
        <v>275</v>
      </c>
      <c r="AP118" s="158"/>
      <c r="AQ118" s="158"/>
      <c r="AR118" s="168" t="s">
        <v>219</v>
      </c>
      <c r="AS118" s="1"/>
      <c r="AT118" s="150"/>
    </row>
    <row r="119" spans="38:47" ht="15.75">
      <c r="AM119" s="10">
        <v>70</v>
      </c>
      <c r="AN119" s="129" t="s">
        <v>295</v>
      </c>
      <c r="AO119" s="174" t="s">
        <v>293</v>
      </c>
      <c r="AP119" s="158"/>
      <c r="AQ119" s="158"/>
      <c r="AR119" s="167" t="s">
        <v>302</v>
      </c>
      <c r="AS119" s="1"/>
      <c r="AT119" s="1"/>
    </row>
    <row r="120" spans="38:47" ht="15.75">
      <c r="AM120" s="10">
        <v>71</v>
      </c>
      <c r="AN120" s="129" t="s">
        <v>292</v>
      </c>
      <c r="AO120" s="174" t="s">
        <v>291</v>
      </c>
      <c r="AP120" s="158"/>
      <c r="AQ120" s="158"/>
      <c r="AR120" s="164" t="s">
        <v>303</v>
      </c>
      <c r="AS120" s="1"/>
      <c r="AT120" s="1"/>
    </row>
    <row r="121" spans="38:47" ht="15.75">
      <c r="AM121" s="10">
        <v>72</v>
      </c>
      <c r="AN121" s="129" t="s">
        <v>299</v>
      </c>
      <c r="AO121" s="174" t="s">
        <v>296</v>
      </c>
      <c r="AP121" s="158"/>
      <c r="AQ121" s="158"/>
      <c r="AR121" s="162" t="s">
        <v>210</v>
      </c>
      <c r="AS121" s="1"/>
      <c r="AT121" s="1"/>
    </row>
    <row r="122" spans="38:47" ht="15.75">
      <c r="AM122" s="10">
        <v>73</v>
      </c>
      <c r="AN122" s="129" t="s">
        <v>301</v>
      </c>
      <c r="AO122" s="174" t="s">
        <v>297</v>
      </c>
      <c r="AP122" s="158"/>
      <c r="AQ122" s="158"/>
      <c r="AR122" s="157" t="s">
        <v>210</v>
      </c>
      <c r="AS122" s="1"/>
      <c r="AT122" s="1"/>
    </row>
    <row r="123" spans="38:47" ht="15.75">
      <c r="AM123" s="10">
        <v>74</v>
      </c>
      <c r="AN123" s="129" t="s">
        <v>300</v>
      </c>
      <c r="AO123" s="174" t="s">
        <v>298</v>
      </c>
      <c r="AP123" s="158"/>
      <c r="AQ123" s="158"/>
      <c r="AR123" s="167" t="s">
        <v>210</v>
      </c>
      <c r="AS123" s="1"/>
      <c r="AT123" s="1"/>
    </row>
    <row r="124" spans="38:47" ht="15.75">
      <c r="AM124" s="10"/>
      <c r="AN124" s="129"/>
      <c r="AO124" s="34"/>
      <c r="AP124" s="158"/>
      <c r="AQ124" s="158"/>
      <c r="AR124" s="168"/>
      <c r="AT124" s="1"/>
    </row>
    <row r="125" spans="38:47" ht="15.75">
      <c r="AM125" s="10"/>
      <c r="AT125" s="1"/>
    </row>
    <row r="126" spans="38:47" ht="15.75">
      <c r="AM126" s="10"/>
    </row>
  </sheetData>
  <mergeCells count="42">
    <mergeCell ref="A49:A60"/>
    <mergeCell ref="B49:B60"/>
    <mergeCell ref="A61:A68"/>
    <mergeCell ref="B61:B68"/>
    <mergeCell ref="A69:A80"/>
    <mergeCell ref="B69:B80"/>
    <mergeCell ref="A9:A20"/>
    <mergeCell ref="B9:B20"/>
    <mergeCell ref="A21:A34"/>
    <mergeCell ref="B21:B34"/>
    <mergeCell ref="A35:A46"/>
    <mergeCell ref="B35:B46"/>
    <mergeCell ref="A1:AK1"/>
    <mergeCell ref="A2:AK2"/>
    <mergeCell ref="A5:A8"/>
    <mergeCell ref="B5:B8"/>
    <mergeCell ref="C5:C8"/>
    <mergeCell ref="D5:D8"/>
    <mergeCell ref="E5:O5"/>
    <mergeCell ref="P5:Z5"/>
    <mergeCell ref="AA5:AK5"/>
    <mergeCell ref="E7:AK7"/>
    <mergeCell ref="X19:Z19"/>
    <mergeCell ref="I28:J28"/>
    <mergeCell ref="I29:J29"/>
    <mergeCell ref="K32:L32"/>
    <mergeCell ref="K33:L33"/>
    <mergeCell ref="G12:H12"/>
    <mergeCell ref="G13:H13"/>
    <mergeCell ref="E15:F15"/>
    <mergeCell ref="E16:F16"/>
    <mergeCell ref="X18:Z18"/>
    <mergeCell ref="R56:S56"/>
    <mergeCell ref="T58:U58"/>
    <mergeCell ref="T59:U59"/>
    <mergeCell ref="V67:W67"/>
    <mergeCell ref="V68:W68"/>
    <mergeCell ref="M42:O42"/>
    <mergeCell ref="M43:O43"/>
    <mergeCell ref="P52:Q52"/>
    <mergeCell ref="P53:Q53"/>
    <mergeCell ref="R55:S55"/>
  </mergeCells>
  <conditionalFormatting sqref="AM16">
    <cfRule type="duplicateValues" dxfId="287" priority="2888"/>
  </conditionalFormatting>
  <conditionalFormatting sqref="AM16 F13 O12:Q13 S12:U13 W12:X13 AA12:AB13 AD12:AH13 AJ12:AK13 K12:M13 L15:AD16 AF15:AK16 G16:H16 J16:K16 E20:AK20 N37:R38 T37:AI38 F39:I40 E42:H43 AA45:AK46 E37:I38 J37:M40 E60:AK60 G63:I63 K63:AK64 G64:J64 AA67:AK68 H71:J73 F71:F72 H74:I74 E76 P76:W77 K79:AK80 E63:E65 F63:F64 Z34 AA33:AE34 E34:P34 E23:G26 F28:F29 E52:G52 H52:M53 R52:T53 AH52:AJ53 AF52:AF53 AM8 E8:AK8 E45:X46 E79:I80 E32:G32 I32:J32 AG50:AG53 F31:P31 Z31:AE32 N39:AI40 AI10:AI13 AK50:AK53 N10:N13 N50:N53 V10:V13 U50:U53 AJ37:AK40 E10:E13 H50:I51 J10:J13 I15:K15 G77 G71:G74 Q50:Q51 R10:R13 G65:AK65 Z10:Z13 E53:F53 E71:E74 AE51:AE53 F12:G12 I12:I13 G15 E18:X18 E19:W19 AA18:AK19 H28:H29 K28:AD29 E33:J33 M32:P33 J42:L43 P42:AK43 O52:O53 E55:Q56 T55:AK56 E58:S59 V58:AK59 E67:U68 X67:Y68 Q31:Y34 K71:AK72 M76:M77 V52:AD53 AF31:AK34 I25:X26 H23:AA24 AC23:AK24 Z25:AK26 Y76:AB77 AD76:AK77 K73:R74 T73:AC74 AE73:AK74 AF28:AK29">
    <cfRule type="cellIs" dxfId="286" priority="2887" operator="equal">
      <formula>$AF$4</formula>
    </cfRule>
  </conditionalFormatting>
  <conditionalFormatting sqref="E34:AK34 AF52:AK53 K52:N52 K53:O53 AC50:AF50 P50:AA51 E50:N51 AF51 AG50:AK51 AC51:AD51 E49:AK49 AM8 E8:AK11 E32:G32 AH32:AJ32 F73 E62:AK66 AH31:AK31 E54:AK54 AK32:AK33 O50:O52 E31:AF31 E52:J53 O73:R74 E71:E74 I32:J32 E33:J33 E74:I74 AE51:AE53 E14:AK14 E12:G12 E13:F13 I12:AK13 E17:AK17 G15:AK16 E20:AK20 E18:X18 E19:W19 AA18:AK19 E30:AK30 E28:H29 K28:AD29 M32:AF32 M33:AJ33 E44:AK47 E42:L43 P42:AK43 E57:AK57 T55:AK56 E60:AK60 E58:S59 V58:AK59 E67:U68 X67:AK68 E36:AK41 W32:W33 E70:AK72 E55:Q56 G73:M74 R52:AD53 E75:AK75 AG31:AG32 E22:AK22 E27:AK27 E23:AA24 AC23:AK24 E25:X26 Z25:AK26 E78:AK80 E76:W77 Y76:AB77 AD76:AK77 T73:AC74 AE73:AK74 AF28:AK29">
    <cfRule type="cellIs" dxfId="285" priority="2885" operator="equal">
      <formula>$AF$4</formula>
    </cfRule>
    <cfRule type="cellIs" dxfId="284" priority="2886" operator="equal">
      <formula>$AF$4</formula>
    </cfRule>
  </conditionalFormatting>
  <conditionalFormatting sqref="AD12:AK12 E12:G12 Z12:AB12 M12:X12 I12:J12">
    <cfRule type="duplicateValues" dxfId="283" priority="2876"/>
  </conditionalFormatting>
  <conditionalFormatting sqref="AD13:AK13 E13:F13 Z13:AB13 M13:X13 I13:J13">
    <cfRule type="duplicateValues" dxfId="282" priority="2843"/>
  </conditionalFormatting>
  <conditionalFormatting sqref="AF15:AI15 J15:K15 M15:P15 R15:AD15 G15">
    <cfRule type="duplicateValues" dxfId="281" priority="2810"/>
  </conditionalFormatting>
  <conditionalFormatting sqref="G16:H16 AF16:AI16 J16:K16 M16:P16 R16:AD16">
    <cfRule type="duplicateValues" dxfId="280" priority="2777"/>
  </conditionalFormatting>
  <conditionalFormatting sqref="O16">
    <cfRule type="cellIs" dxfId="279" priority="1392" operator="equal">
      <formula>$AF$4</formula>
    </cfRule>
    <cfRule type="cellIs" dxfId="278" priority="2766" operator="equal">
      <formula>$AF$4</formula>
    </cfRule>
  </conditionalFormatting>
  <conditionalFormatting sqref="E18:L18 AG18:AJ18 N18:X18 AA18:AE18">
    <cfRule type="duplicateValues" dxfId="277" priority="2744"/>
  </conditionalFormatting>
  <conditionalFormatting sqref="E19:W19 AG19:AI19 AK19 AA19:AE19">
    <cfRule type="duplicateValues" dxfId="276" priority="2710"/>
  </conditionalFormatting>
  <conditionalFormatting sqref="E20:N20 P20:AK20">
    <cfRule type="duplicateValues" dxfId="275" priority="2676"/>
  </conditionalFormatting>
  <conditionalFormatting sqref="E37:I37 K37 M37:R37 T37:AJ37">
    <cfRule type="duplicateValues" dxfId="274" priority="2643"/>
  </conditionalFormatting>
  <conditionalFormatting sqref="E38:I38 K38 M38:R38 T38:AJ38">
    <cfRule type="duplicateValues" dxfId="273" priority="2609"/>
  </conditionalFormatting>
  <conditionalFormatting sqref="F39:L39 N39:AI39">
    <cfRule type="duplicateValues" dxfId="272" priority="2575"/>
  </conditionalFormatting>
  <conditionalFormatting sqref="F40:L40 N40:AI40">
    <cfRule type="duplicateValues" dxfId="271" priority="2541"/>
  </conditionalFormatting>
  <conditionalFormatting sqref="E42:H42 J42 L42 P42:AK42">
    <cfRule type="duplicateValues" dxfId="270" priority="2507"/>
  </conditionalFormatting>
  <conditionalFormatting sqref="E43:H43 J43 L43 V43:AK43 P43:T43">
    <cfRule type="duplicateValues" dxfId="269" priority="2473"/>
  </conditionalFormatting>
  <conditionalFormatting sqref="E45:O45 AA45:AG45 AJ45:AK45">
    <cfRule type="duplicateValues" dxfId="268" priority="2439"/>
  </conditionalFormatting>
  <conditionalFormatting sqref="E46:O46 AA46:AG46 AJ46:AK46">
    <cfRule type="duplicateValues" dxfId="267" priority="2416"/>
  </conditionalFormatting>
  <conditionalFormatting sqref="E60:AK60">
    <cfRule type="duplicateValues" dxfId="266" priority="2393"/>
  </conditionalFormatting>
  <conditionalFormatting sqref="E63 G63:I63 M63:N63 P63:AI63 AK63">
    <cfRule type="duplicateValues" dxfId="265" priority="2359"/>
  </conditionalFormatting>
  <conditionalFormatting sqref="E64:J64 AG64:AI64 M64:N64 P64:AE64 AK64">
    <cfRule type="duplicateValues" dxfId="264" priority="2326"/>
  </conditionalFormatting>
  <conditionalFormatting sqref="G65 M65:N65 I65:K65 P65:AH65">
    <cfRule type="duplicateValues" dxfId="263" priority="2292"/>
  </conditionalFormatting>
  <conditionalFormatting sqref="P67:U67 AA67:AH67 AJ67:AK67 X67:Y67">
    <cfRule type="duplicateValues" dxfId="262" priority="2259"/>
  </conditionalFormatting>
  <conditionalFormatting sqref="P68:U68 AA68:AG68 AI68:AK68 X68:Y68">
    <cfRule type="duplicateValues" dxfId="261" priority="2236"/>
  </conditionalFormatting>
  <conditionalFormatting sqref="E71:F71 H71:AH71 AJ71:AK71">
    <cfRule type="duplicateValues" dxfId="260" priority="2213"/>
  </conditionalFormatting>
  <conditionalFormatting sqref="E72:F72 AJ72:AK72 AD72:AH72 H72:AB72">
    <cfRule type="duplicateValues" dxfId="259" priority="2180"/>
  </conditionalFormatting>
  <conditionalFormatting sqref="E74 P74:R74 G74:I74 V74:AC74 T74 AE74:AI74">
    <cfRule type="duplicateValues" dxfId="258" priority="2121"/>
  </conditionalFormatting>
  <conditionalFormatting sqref="E76 P76:W76 AJ76:AK76 Y76:AB76 AD76:AG76">
    <cfRule type="duplicateValues" dxfId="257" priority="2093"/>
  </conditionalFormatting>
  <conditionalFormatting sqref="P77:W77 AJ77:AK77 Y77:AB77 AD77:AG77">
    <cfRule type="duplicateValues" dxfId="256" priority="2069"/>
  </conditionalFormatting>
  <conditionalFormatting sqref="P79:AH79">
    <cfRule type="duplicateValues" dxfId="255" priority="2046"/>
  </conditionalFormatting>
  <conditionalFormatting sqref="P80:AH80">
    <cfRule type="duplicateValues" dxfId="254" priority="2024"/>
  </conditionalFormatting>
  <conditionalFormatting sqref="AK79">
    <cfRule type="duplicateValues" dxfId="253" priority="1999"/>
  </conditionalFormatting>
  <conditionalFormatting sqref="AK80">
    <cfRule type="duplicateValues" dxfId="252" priority="1997"/>
  </conditionalFormatting>
  <conditionalFormatting sqref="AC72">
    <cfRule type="duplicateValues" dxfId="251" priority="1995"/>
  </conditionalFormatting>
  <conditionalFormatting sqref="E65">
    <cfRule type="duplicateValues" dxfId="250" priority="1993"/>
  </conditionalFormatting>
  <conditionalFormatting sqref="F63">
    <cfRule type="duplicateValues" dxfId="249" priority="1991"/>
  </conditionalFormatting>
  <conditionalFormatting sqref="P79:AH79 AK79">
    <cfRule type="duplicateValues" dxfId="248" priority="1989"/>
  </conditionalFormatting>
  <conditionalFormatting sqref="P80:AH80 AK80">
    <cfRule type="duplicateValues" dxfId="247" priority="1988"/>
  </conditionalFormatting>
  <conditionalFormatting sqref="E34:N34 P34:AK34">
    <cfRule type="duplicateValues" dxfId="246" priority="1985"/>
  </conditionalFormatting>
  <conditionalFormatting sqref="O20">
    <cfRule type="duplicateValues" dxfId="245" priority="2877"/>
  </conditionalFormatting>
  <conditionalFormatting sqref="O34">
    <cfRule type="duplicateValues" dxfId="244" priority="2878"/>
  </conditionalFormatting>
  <conditionalFormatting sqref="E23:F23 I23:AA23 G25 AC23:AI23 AK23">
    <cfRule type="duplicateValues" dxfId="243" priority="1949"/>
  </conditionalFormatting>
  <conditionalFormatting sqref="E24:F24 I24:AA24 G26 AC24:AI24 AK24">
    <cfRule type="duplicateValues" dxfId="242" priority="1915"/>
  </conditionalFormatting>
  <conditionalFormatting sqref="E25:F25 J25:L25 H23 AK25 N25:P25 Z25:AI25 R25:X25">
    <cfRule type="duplicateValues" dxfId="241" priority="1881"/>
  </conditionalFormatting>
  <conditionalFormatting sqref="E26:F26 J26:L26 H24 AK26 N26:P26 Z26:AB26 R26:X26 AD26:AI26">
    <cfRule type="duplicateValues" dxfId="240" priority="1847"/>
  </conditionalFormatting>
  <conditionalFormatting sqref="F28 AG28:AJ28 P28:AC28 K28:M28">
    <cfRule type="duplicateValues" dxfId="239" priority="1813"/>
  </conditionalFormatting>
  <conditionalFormatting sqref="F29 K29:M29 AG29:AK29 P29:AD29">
    <cfRule type="duplicateValues" dxfId="238" priority="1779"/>
  </conditionalFormatting>
  <conditionalFormatting sqref="E33:J33 AA33:AF33 AI33:AJ33 O33:S33 V33:X33 M33">
    <cfRule type="duplicateValues" dxfId="237" priority="1745"/>
  </conditionalFormatting>
  <conditionalFormatting sqref="E52:G52 Z52:AD52 AF52:AK52 W52:X52 I52 K52:N52 R52:U52">
    <cfRule type="duplicateValues" dxfId="236" priority="1635"/>
  </conditionalFormatting>
  <conditionalFormatting sqref="E53:F53 I53 Z53:AD53 AF53:AK53 K53:O53 R53:X53">
    <cfRule type="duplicateValues" dxfId="235" priority="1601"/>
  </conditionalFormatting>
  <conditionalFormatting sqref="E55:H55 AA55:AK55 P55 J55:N55 T55:X55">
    <cfRule type="duplicateValues" dxfId="234" priority="1568"/>
  </conditionalFormatting>
  <conditionalFormatting sqref="E56:H56 AA56:AK56 P56 L56:N56 T56:X56 J56">
    <cfRule type="duplicateValues" dxfId="233" priority="1534"/>
  </conditionalFormatting>
  <conditionalFormatting sqref="E58:O58 AA58:AK58">
    <cfRule type="duplicateValues" dxfId="232" priority="1500"/>
  </conditionalFormatting>
  <conditionalFormatting sqref="E59:O59 AA59:AI59">
    <cfRule type="duplicateValues" dxfId="231" priority="1477"/>
  </conditionalFormatting>
  <conditionalFormatting sqref="I23">
    <cfRule type="duplicateValues" dxfId="230" priority="1426"/>
  </conditionalFormatting>
  <conditionalFormatting sqref="I24">
    <cfRule type="duplicateValues" dxfId="229" priority="1424"/>
  </conditionalFormatting>
  <conditionalFormatting sqref="P73:R73 E73 G73:J73 V73:AC73 T73 AE73:AI73">
    <cfRule type="duplicateValues" dxfId="228" priority="2889"/>
  </conditionalFormatting>
  <conditionalFormatting sqref="O16">
    <cfRule type="duplicateValues" dxfId="227" priority="1391"/>
  </conditionalFormatting>
  <conditionalFormatting sqref="N55">
    <cfRule type="duplicateValues" dxfId="226" priority="1379"/>
  </conditionalFormatting>
  <conditionalFormatting sqref="P45:S45 U45:X45">
    <cfRule type="duplicateValues" dxfId="225" priority="1361"/>
  </conditionalFormatting>
  <conditionalFormatting sqref="P46:S46 U46:X46">
    <cfRule type="duplicateValues" dxfId="224" priority="1349"/>
  </conditionalFormatting>
  <conditionalFormatting sqref="P58:S58 V58:Y58">
    <cfRule type="duplicateValues" dxfId="223" priority="1333"/>
  </conditionalFormatting>
  <conditionalFormatting sqref="P59:S59 V59:Y59">
    <cfRule type="duplicateValues" dxfId="222" priority="1321"/>
  </conditionalFormatting>
  <conditionalFormatting sqref="E67:G67 I67:O67">
    <cfRule type="duplicateValues" dxfId="221" priority="1305"/>
  </conditionalFormatting>
  <conditionalFormatting sqref="E68:G68 N68:O68 I68:L68">
    <cfRule type="duplicateValues" dxfId="220" priority="1293"/>
  </conditionalFormatting>
  <conditionalFormatting sqref="E79:I79 K79:O79">
    <cfRule type="duplicateValues" dxfId="219" priority="1277"/>
  </conditionalFormatting>
  <conditionalFormatting sqref="E80:I80 K80:O80">
    <cfRule type="duplicateValues" dxfId="218" priority="1265"/>
  </conditionalFormatting>
  <conditionalFormatting sqref="M73">
    <cfRule type="duplicateValues" dxfId="217" priority="1249"/>
  </conditionalFormatting>
  <conditionalFormatting sqref="M74">
    <cfRule type="duplicateValues" dxfId="216" priority="1247"/>
  </conditionalFormatting>
  <conditionalFormatting sqref="O73">
    <cfRule type="duplicateValues" dxfId="215" priority="1241"/>
  </conditionalFormatting>
  <conditionalFormatting sqref="O74">
    <cfRule type="duplicateValues" dxfId="214" priority="1239"/>
  </conditionalFormatting>
  <conditionalFormatting sqref="AE63">
    <cfRule type="duplicateValues" dxfId="213" priority="1235"/>
  </conditionalFormatting>
  <conditionalFormatting sqref="AE64">
    <cfRule type="duplicateValues" dxfId="212" priority="1231"/>
  </conditionalFormatting>
  <conditionalFormatting sqref="AE51">
    <cfRule type="duplicateValues" dxfId="211" priority="1225"/>
  </conditionalFormatting>
  <conditionalFormatting sqref="Q72">
    <cfRule type="duplicateValues" dxfId="210" priority="1221"/>
  </conditionalFormatting>
  <conditionalFormatting sqref="K25">
    <cfRule type="duplicateValues" dxfId="209" priority="1215"/>
  </conditionalFormatting>
  <conditionalFormatting sqref="K26">
    <cfRule type="duplicateValues" dxfId="208" priority="1213"/>
  </conditionalFormatting>
  <conditionalFormatting sqref="E18">
    <cfRule type="duplicateValues" dxfId="207" priority="1205"/>
  </conditionalFormatting>
  <conditionalFormatting sqref="AF15:AI16 AD12:AK13 AE51 E76 E23:F24 E52:G52 G16:H16 E25:G26 J25:L26 E20:AK20 E60:AK60 E34:AK34 AG19:AI19 E64:J64 Z12:AB13 E33:J33 AA33:AF33 F28:F29 E65 G65 G73:J73 G74:I74 E42:H43 J42:J43 K79:AH80 E63:I63 J15:K16 E13:F13 E19:W19 AG29:AK29 F39:L40 M12:X13 M15:P16 AG18:AJ18 AK19 AA68:AG68 AI68:AK68 AJ67:AK67 AJ76:AK77 AK79:AK80 AI33:AJ33 AJ45:AK46 AG28:AJ28 L56:N56 E67:G68 N68:U68 E18:L18 N18:X18 O33:S33 M37:R38 R15:AD16 W52:X52 V73:AC74 U45:X46 V43:AK43 Z25:AI25 N39:AI40 J56 J55:N55 AJ71:AK72 AK63:AK64 T37:AJ38 I67:U67 I68:L68 E45:S46 O73:R74 K52:N52 K53:O53 L42:L43 M63:N65 AA45:AG46 E79:I80 Z26:AB26 AD26:AI26 I65:K65 AA67:AH67 P76:W77 AK23:AK26 E55:H56 E53:F53 E71:E74 E32:G32 AJ31:AK31 AH31 AH32:AJ32 AK15:AK16 E37:K38 AG50:AG51 O55:P56 F31:P31 P64:AI64 R31:AF31 P28:AD29 I52:J53 O63:AI63 G77 E71:AH72 Q50:Q51 R10:R11 L63:L64 K73:K74 I32:J32 V33:Y33 O65:AH65 Z10:Z11 E12:G12 I12:J13 G15 AA18:AF19 K28:M29 M32:AF32 M33 P42:AK42 P43:T43 R52:U52 R53:X53 T55:AK56 E58:S59 V58:AK58 V59:AI59 X67:Y68 N25:X26 W32:W33 M73:M74 Y52:AK53 AG31:AG33 H23:AA24 AC23:AJ24 Y76:AB77 AD76:AG77 T73:T74 AE73:AI74 AF28:AF29">
    <cfRule type="expression" dxfId="206" priority="3164">
      <formula>COUNTIF(E$10:E$80,E10)&lt;VLOOKUP(E10,#REF!,E$3,0)</formula>
    </cfRule>
    <cfRule type="expression" dxfId="205" priority="3165">
      <formula>COUNTIF(E$10:E$80,E10)&gt;VLOOKUP(E10,#REF!,E$3,0)</formula>
    </cfRule>
  </conditionalFormatting>
  <conditionalFormatting sqref="AM16">
    <cfRule type="expression" dxfId="204" priority="3254">
      <formula>COUNTIF(AM$10:AM$91,AM16)&lt;VLOOKUP(AM16,#REF!,AM$3,0)</formula>
    </cfRule>
    <cfRule type="expression" dxfId="203" priority="3255">
      <formula>COUNTIF(AM$10:AM$91,AM16)&gt;VLOOKUP(AM16,#REF!,AM$3,0)</formula>
    </cfRule>
  </conditionalFormatting>
  <conditionalFormatting sqref="G32">
    <cfRule type="duplicateValues" dxfId="202" priority="1197"/>
  </conditionalFormatting>
  <conditionalFormatting sqref="K31 M31:P31 AE31 AJ31:AK31 R31:AC31 AH31">
    <cfRule type="duplicateValues" dxfId="201" priority="1195"/>
  </conditionalFormatting>
  <conditionalFormatting sqref="E32:F32 I32:J32 AF32 AH32:AJ32 X32:AD32 M32:V32">
    <cfRule type="duplicateValues" dxfId="200" priority="1163"/>
  </conditionalFormatting>
  <conditionalFormatting sqref="K31">
    <cfRule type="duplicateValues" dxfId="199" priority="1131"/>
  </conditionalFormatting>
  <conditionalFormatting sqref="E33:J33 M33">
    <cfRule type="duplicateValues" dxfId="198" priority="1125"/>
  </conditionalFormatting>
  <conditionalFormatting sqref="M33 O33:S33">
    <cfRule type="duplicateValues" dxfId="197" priority="1112"/>
  </conditionalFormatting>
  <conditionalFormatting sqref="AK15">
    <cfRule type="duplicateValues" dxfId="196" priority="1097"/>
  </conditionalFormatting>
  <conditionalFormatting sqref="AK16">
    <cfRule type="duplicateValues" dxfId="195" priority="1095"/>
  </conditionalFormatting>
  <conditionalFormatting sqref="AF18">
    <cfRule type="duplicateValues" dxfId="194" priority="1089"/>
  </conditionalFormatting>
  <conditionalFormatting sqref="AF19">
    <cfRule type="duplicateValues" dxfId="193" priority="1087"/>
  </conditionalFormatting>
  <conditionalFormatting sqref="J37">
    <cfRule type="duplicateValues" dxfId="192" priority="1081"/>
  </conditionalFormatting>
  <conditionalFormatting sqref="J38">
    <cfRule type="duplicateValues" dxfId="191" priority="1079"/>
  </conditionalFormatting>
  <conditionalFormatting sqref="AG50">
    <cfRule type="duplicateValues" dxfId="190" priority="1073"/>
  </conditionalFormatting>
  <conditionalFormatting sqref="AG51">
    <cfRule type="duplicateValues" dxfId="189" priority="1071"/>
  </conditionalFormatting>
  <conditionalFormatting sqref="Y52">
    <cfRule type="duplicateValues" dxfId="188" priority="1065"/>
  </conditionalFormatting>
  <conditionalFormatting sqref="Y53">
    <cfRule type="duplicateValues" dxfId="187" priority="1063"/>
  </conditionalFormatting>
  <conditionalFormatting sqref="Z55">
    <cfRule type="duplicateValues" dxfId="186" priority="1057"/>
  </conditionalFormatting>
  <conditionalFormatting sqref="Z56">
    <cfRule type="duplicateValues" dxfId="185" priority="1055"/>
  </conditionalFormatting>
  <conditionalFormatting sqref="O55">
    <cfRule type="duplicateValues" dxfId="184" priority="1049"/>
  </conditionalFormatting>
  <conditionalFormatting sqref="O56">
    <cfRule type="duplicateValues" dxfId="183" priority="1047"/>
  </conditionalFormatting>
  <conditionalFormatting sqref="Z58">
    <cfRule type="duplicateValues" dxfId="182" priority="1041"/>
  </conditionalFormatting>
  <conditionalFormatting sqref="Z59">
    <cfRule type="duplicateValues" dxfId="181" priority="1039"/>
  </conditionalFormatting>
  <conditionalFormatting sqref="F31:J31">
    <cfRule type="duplicateValues" dxfId="180" priority="1031"/>
  </conditionalFormatting>
  <conditionalFormatting sqref="AC68">
    <cfRule type="duplicateValues" dxfId="179" priority="1029"/>
  </conditionalFormatting>
  <conditionalFormatting sqref="L31">
    <cfRule type="duplicateValues" dxfId="178" priority="1023"/>
  </conditionalFormatting>
  <conditionalFormatting sqref="AC64">
    <cfRule type="duplicateValues" dxfId="177" priority="1021"/>
  </conditionalFormatting>
  <conditionalFormatting sqref="M16">
    <cfRule type="duplicateValues" dxfId="176" priority="975"/>
  </conditionalFormatting>
  <conditionalFormatting sqref="M56">
    <cfRule type="duplicateValues" dxfId="175" priority="973"/>
  </conditionalFormatting>
  <conditionalFormatting sqref="N13">
    <cfRule type="duplicateValues" dxfId="174" priority="969"/>
  </conditionalFormatting>
  <conditionalFormatting sqref="AA19">
    <cfRule type="duplicateValues" dxfId="173" priority="967"/>
  </conditionalFormatting>
  <conditionalFormatting sqref="AB68">
    <cfRule type="duplicateValues" dxfId="172" priority="955"/>
  </conditionalFormatting>
  <conditionalFormatting sqref="AB68">
    <cfRule type="duplicateValues" dxfId="171" priority="951"/>
  </conditionalFormatting>
  <conditionalFormatting sqref="AD31">
    <cfRule type="duplicateValues" dxfId="170" priority="923"/>
  </conditionalFormatting>
  <conditionalFormatting sqref="AE32">
    <cfRule type="duplicateValues" dxfId="169" priority="905"/>
  </conditionalFormatting>
  <conditionalFormatting sqref="AF29">
    <cfRule type="duplicateValues" dxfId="168" priority="899"/>
  </conditionalFormatting>
  <conditionalFormatting sqref="AF64">
    <cfRule type="duplicateValues" dxfId="167" priority="893"/>
  </conditionalFormatting>
  <conditionalFormatting sqref="AE39:AF39">
    <cfRule type="duplicateValues" dxfId="166" priority="885"/>
  </conditionalFormatting>
  <conditionalFormatting sqref="AE40:AF40">
    <cfRule type="duplicateValues" dxfId="165" priority="882"/>
  </conditionalFormatting>
  <conditionalFormatting sqref="AG67">
    <cfRule type="duplicateValues" dxfId="164" priority="877"/>
  </conditionalFormatting>
  <conditionalFormatting sqref="AG68">
    <cfRule type="duplicateValues" dxfId="163" priority="875"/>
  </conditionalFormatting>
  <conditionalFormatting sqref="AG67">
    <cfRule type="duplicateValues" dxfId="162" priority="873"/>
  </conditionalFormatting>
  <conditionalFormatting sqref="AG68">
    <cfRule type="duplicateValues" dxfId="161" priority="872"/>
  </conditionalFormatting>
  <conditionalFormatting sqref="Y55">
    <cfRule type="duplicateValues" dxfId="160" priority="591"/>
  </conditionalFormatting>
  <conditionalFormatting sqref="Y56">
    <cfRule type="duplicateValues" dxfId="159" priority="589"/>
  </conditionalFormatting>
  <conditionalFormatting sqref="Z40">
    <cfRule type="duplicateValues" dxfId="158" priority="579"/>
  </conditionalFormatting>
  <conditionalFormatting sqref="Y67:Y68">
    <cfRule type="duplicateValues" dxfId="157" priority="577"/>
  </conditionalFormatting>
  <conditionalFormatting sqref="S32">
    <cfRule type="duplicateValues" dxfId="156" priority="492"/>
  </conditionalFormatting>
  <conditionalFormatting sqref="AF31">
    <cfRule type="duplicateValues" dxfId="155" priority="488"/>
  </conditionalFormatting>
  <conditionalFormatting sqref="AF28">
    <cfRule type="duplicateValues" dxfId="154" priority="474"/>
  </conditionalFormatting>
  <conditionalFormatting sqref="AD28">
    <cfRule type="duplicateValues" dxfId="153" priority="470"/>
  </conditionalFormatting>
  <conditionalFormatting sqref="V31">
    <cfRule type="duplicateValues" dxfId="152" priority="379"/>
  </conditionalFormatting>
  <conditionalFormatting sqref="P65">
    <cfRule type="duplicateValues" dxfId="151" priority="377"/>
  </conditionalFormatting>
  <conditionalFormatting sqref="Q46">
    <cfRule type="duplicateValues" dxfId="150" priority="373"/>
  </conditionalFormatting>
  <conditionalFormatting sqref="S58">
    <cfRule type="duplicateValues" dxfId="149" priority="371"/>
  </conditionalFormatting>
  <conditionalFormatting sqref="J52">
    <cfRule type="duplicateValues" dxfId="148" priority="359"/>
  </conditionalFormatting>
  <conditionalFormatting sqref="J53">
    <cfRule type="duplicateValues" dxfId="147" priority="357"/>
  </conditionalFormatting>
  <conditionalFormatting sqref="P43">
    <cfRule type="duplicateValues" dxfId="146" priority="353"/>
  </conditionalFormatting>
  <conditionalFormatting sqref="X31">
    <cfRule type="duplicateValues" dxfId="145" priority="346"/>
  </conditionalFormatting>
  <conditionalFormatting sqref="AG33">
    <cfRule type="duplicateValues" dxfId="144" priority="326"/>
  </conditionalFormatting>
  <conditionalFormatting sqref="AH65">
    <cfRule type="duplicateValues" dxfId="143" priority="324"/>
  </conditionalFormatting>
  <conditionalFormatting sqref="AH63">
    <cfRule type="duplicateValues" dxfId="142" priority="322"/>
  </conditionalFormatting>
  <conditionalFormatting sqref="O63">
    <cfRule type="duplicateValues" dxfId="141" priority="311"/>
  </conditionalFormatting>
  <conditionalFormatting sqref="O63">
    <cfRule type="duplicateValues" dxfId="140" priority="309"/>
  </conditionalFormatting>
  <conditionalFormatting sqref="AE45">
    <cfRule type="duplicateValues" dxfId="139" priority="307"/>
  </conditionalFormatting>
  <conditionalFormatting sqref="AE46">
    <cfRule type="duplicateValues" dxfId="138" priority="305"/>
  </conditionalFormatting>
  <conditionalFormatting sqref="G77">
    <cfRule type="duplicateValues" dxfId="137" priority="297"/>
  </conditionalFormatting>
  <conditionalFormatting sqref="G79">
    <cfRule type="duplicateValues" dxfId="136" priority="293"/>
  </conditionalFormatting>
  <conditionalFormatting sqref="G72">
    <cfRule type="duplicateValues" dxfId="135" priority="283"/>
  </conditionalFormatting>
  <conditionalFormatting sqref="G71">
    <cfRule type="duplicateValues" dxfId="134" priority="289"/>
  </conditionalFormatting>
  <conditionalFormatting sqref="Q50">
    <cfRule type="duplicateValues" dxfId="133" priority="277"/>
  </conditionalFormatting>
  <conditionalFormatting sqref="Q51">
    <cfRule type="duplicateValues" dxfId="132" priority="275"/>
  </conditionalFormatting>
  <conditionalFormatting sqref="Q51">
    <cfRule type="duplicateValues" dxfId="131" priority="271"/>
  </conditionalFormatting>
  <conditionalFormatting sqref="Q25">
    <cfRule type="duplicateValues" dxfId="130" priority="267"/>
  </conditionalFormatting>
  <conditionalFormatting sqref="Q26">
    <cfRule type="duplicateValues" dxfId="129" priority="265"/>
  </conditionalFormatting>
  <conditionalFormatting sqref="R10">
    <cfRule type="duplicateValues" dxfId="128" priority="251"/>
  </conditionalFormatting>
  <conditionalFormatting sqref="R11">
    <cfRule type="duplicateValues" dxfId="127" priority="249"/>
  </conditionalFormatting>
  <conditionalFormatting sqref="K23">
    <cfRule type="duplicateValues" dxfId="126" priority="240"/>
  </conditionalFormatting>
  <conditionalFormatting sqref="K24">
    <cfRule type="duplicateValues" dxfId="125" priority="238"/>
  </conditionalFormatting>
  <conditionalFormatting sqref="K23">
    <cfRule type="duplicateValues" dxfId="124" priority="236"/>
  </conditionalFormatting>
  <conditionalFormatting sqref="K24">
    <cfRule type="duplicateValues" dxfId="123" priority="234"/>
  </conditionalFormatting>
  <conditionalFormatting sqref="L63">
    <cfRule type="duplicateValues" dxfId="122" priority="228"/>
  </conditionalFormatting>
  <conditionalFormatting sqref="L64">
    <cfRule type="duplicateValues" dxfId="121" priority="226"/>
  </conditionalFormatting>
  <conditionalFormatting sqref="AK58">
    <cfRule type="duplicateValues" dxfId="120" priority="222"/>
  </conditionalFormatting>
  <conditionalFormatting sqref="I65">
    <cfRule type="duplicateValues" dxfId="119" priority="216"/>
  </conditionalFormatting>
  <conditionalFormatting sqref="K73">
    <cfRule type="duplicateValues" dxfId="118" priority="210"/>
  </conditionalFormatting>
  <conditionalFormatting sqref="K74">
    <cfRule type="duplicateValues" dxfId="117" priority="208"/>
  </conditionalFormatting>
  <conditionalFormatting sqref="AG67">
    <cfRule type="duplicateValues" dxfId="116" priority="204"/>
  </conditionalFormatting>
  <conditionalFormatting sqref="AG31">
    <cfRule type="duplicateValues" dxfId="115" priority="198"/>
  </conditionalFormatting>
  <conditionalFormatting sqref="AG32">
    <cfRule type="duplicateValues" dxfId="114" priority="196"/>
  </conditionalFormatting>
  <conditionalFormatting sqref="E71">
    <cfRule type="duplicateValues" dxfId="113" priority="194"/>
  </conditionalFormatting>
  <conditionalFormatting sqref="E72">
    <cfRule type="duplicateValues" dxfId="112" priority="192"/>
  </conditionalFormatting>
  <conditionalFormatting sqref="Y63">
    <cfRule type="duplicateValues" dxfId="111" priority="188"/>
  </conditionalFormatting>
  <conditionalFormatting sqref="Y64">
    <cfRule type="duplicateValues" dxfId="110" priority="186"/>
  </conditionalFormatting>
  <conditionalFormatting sqref="W32">
    <cfRule type="duplicateValues" dxfId="109" priority="180"/>
  </conditionalFormatting>
  <conditionalFormatting sqref="W33">
    <cfRule type="duplicateValues" dxfId="108" priority="176"/>
  </conditionalFormatting>
  <conditionalFormatting sqref="AA76">
    <cfRule type="duplicateValues" dxfId="107" priority="174"/>
  </conditionalFormatting>
  <conditionalFormatting sqref="AJ23">
    <cfRule type="duplicateValues" dxfId="106" priority="168"/>
  </conditionalFormatting>
  <conditionalFormatting sqref="AJ24">
    <cfRule type="duplicateValues" dxfId="105" priority="166"/>
  </conditionalFormatting>
  <conditionalFormatting sqref="Y33">
    <cfRule type="duplicateValues" dxfId="104" priority="160"/>
  </conditionalFormatting>
  <conditionalFormatting sqref="O65">
    <cfRule type="duplicateValues" dxfId="103" priority="154"/>
  </conditionalFormatting>
  <conditionalFormatting sqref="O65">
    <cfRule type="duplicateValues" dxfId="102" priority="152"/>
  </conditionalFormatting>
  <conditionalFormatting sqref="Z10">
    <cfRule type="duplicateValues" dxfId="101" priority="146"/>
  </conditionalFormatting>
  <conditionalFormatting sqref="Z11">
    <cfRule type="duplicateValues" dxfId="100" priority="144"/>
  </conditionalFormatting>
  <conditionalFormatting sqref="E55">
    <cfRule type="duplicateValues" dxfId="99" priority="138"/>
  </conditionalFormatting>
  <conditionalFormatting sqref="F53">
    <cfRule type="duplicateValues" dxfId="98" priority="132"/>
  </conditionalFormatting>
  <conditionalFormatting sqref="E74">
    <cfRule type="duplicateValues" dxfId="97" priority="128"/>
  </conditionalFormatting>
  <conditionalFormatting sqref="AE52">
    <cfRule type="duplicateValues" dxfId="96" priority="122"/>
  </conditionalFormatting>
  <conditionalFormatting sqref="AE53">
    <cfRule type="duplicateValues" dxfId="95" priority="120"/>
  </conditionalFormatting>
  <conditionalFormatting sqref="AE52">
    <cfRule type="duplicateValues" dxfId="94" priority="116"/>
  </conditionalFormatting>
  <conditionalFormatting sqref="AE53">
    <cfRule type="duplicateValues" dxfId="93" priority="114"/>
  </conditionalFormatting>
  <conditionalFormatting sqref="AJ58">
    <cfRule type="duplicateValues" dxfId="92" priority="101"/>
  </conditionalFormatting>
  <conditionalFormatting sqref="E15">
    <cfRule type="cellIs" dxfId="91" priority="93" operator="equal">
      <formula>$AF$4</formula>
    </cfRule>
  </conditionalFormatting>
  <conditionalFormatting sqref="E15">
    <cfRule type="cellIs" dxfId="90" priority="91" operator="equal">
      <formula>$AF$4</formula>
    </cfRule>
    <cfRule type="cellIs" dxfId="89" priority="92" operator="equal">
      <formula>$AF$4</formula>
    </cfRule>
  </conditionalFormatting>
  <conditionalFormatting sqref="E15">
    <cfRule type="duplicateValues" dxfId="88" priority="90"/>
  </conditionalFormatting>
  <conditionalFormatting sqref="E15">
    <cfRule type="expression" dxfId="87" priority="94">
      <formula>COUNTIF(E$10:E$80,E15)&lt;VLOOKUP(E15,#REF!,E$3,0)</formula>
    </cfRule>
    <cfRule type="expression" dxfId="86" priority="95">
      <formula>COUNTIF(E$10:E$80,E15)&gt;VLOOKUP(E15,#REF!,E$3,0)</formula>
    </cfRule>
  </conditionalFormatting>
  <conditionalFormatting sqref="X19">
    <cfRule type="cellIs" dxfId="85" priority="87" operator="equal">
      <formula>$AF$4</formula>
    </cfRule>
  </conditionalFormatting>
  <conditionalFormatting sqref="X19">
    <cfRule type="cellIs" dxfId="84" priority="85" operator="equal">
      <formula>$AF$4</formula>
    </cfRule>
    <cfRule type="cellIs" dxfId="83" priority="86" operator="equal">
      <formula>$AF$4</formula>
    </cfRule>
  </conditionalFormatting>
  <conditionalFormatting sqref="X19">
    <cfRule type="duplicateValues" dxfId="82" priority="84"/>
  </conditionalFormatting>
  <conditionalFormatting sqref="X19">
    <cfRule type="expression" dxfId="81" priority="88">
      <formula>COUNTIF(X$10:X$80,X19)&lt;VLOOKUP(X19,#REF!,X$3,0)</formula>
    </cfRule>
    <cfRule type="expression" dxfId="80" priority="89">
      <formula>COUNTIF(X$10:X$80,X19)&gt;VLOOKUP(X19,#REF!,X$3,0)</formula>
    </cfRule>
  </conditionalFormatting>
  <conditionalFormatting sqref="I28">
    <cfRule type="cellIs" dxfId="79" priority="81" operator="equal">
      <formula>$AF$4</formula>
    </cfRule>
  </conditionalFormatting>
  <conditionalFormatting sqref="I28">
    <cfRule type="cellIs" dxfId="78" priority="79" operator="equal">
      <formula>$AF$4</formula>
    </cfRule>
    <cfRule type="cellIs" dxfId="77" priority="80" operator="equal">
      <formula>$AF$4</formula>
    </cfRule>
  </conditionalFormatting>
  <conditionalFormatting sqref="I28">
    <cfRule type="duplicateValues" dxfId="76" priority="78"/>
  </conditionalFormatting>
  <conditionalFormatting sqref="I28">
    <cfRule type="expression" dxfId="75" priority="82">
      <formula>COUNTIF(I$10:I$80,I28)&lt;VLOOKUP(I28,#REF!,I$3,0)</formula>
    </cfRule>
    <cfRule type="expression" dxfId="74" priority="83">
      <formula>COUNTIF(I$10:I$80,I28)&gt;VLOOKUP(I28,#REF!,I$3,0)</formula>
    </cfRule>
  </conditionalFormatting>
  <conditionalFormatting sqref="K32">
    <cfRule type="cellIs" dxfId="73" priority="75" operator="equal">
      <formula>$AF$4</formula>
    </cfRule>
  </conditionalFormatting>
  <conditionalFormatting sqref="K32">
    <cfRule type="cellIs" dxfId="72" priority="73" operator="equal">
      <formula>$AF$4</formula>
    </cfRule>
    <cfRule type="cellIs" dxfId="71" priority="74" operator="equal">
      <formula>$AF$4</formula>
    </cfRule>
  </conditionalFormatting>
  <conditionalFormatting sqref="K32">
    <cfRule type="duplicateValues" dxfId="70" priority="72"/>
  </conditionalFormatting>
  <conditionalFormatting sqref="K32">
    <cfRule type="expression" dxfId="69" priority="76">
      <formula>COUNTIF(K$10:K$80,K32)&lt;VLOOKUP(K32,#REF!,K$3,0)</formula>
    </cfRule>
    <cfRule type="expression" dxfId="68" priority="77">
      <formula>COUNTIF(K$10:K$80,K32)&gt;VLOOKUP(K32,#REF!,K$3,0)</formula>
    </cfRule>
  </conditionalFormatting>
  <conditionalFormatting sqref="M42">
    <cfRule type="cellIs" dxfId="67" priority="69" operator="equal">
      <formula>$AF$4</formula>
    </cfRule>
  </conditionalFormatting>
  <conditionalFormatting sqref="M42">
    <cfRule type="cellIs" dxfId="66" priority="67" operator="equal">
      <formula>$AF$4</formula>
    </cfRule>
    <cfRule type="cellIs" dxfId="65" priority="68" operator="equal">
      <formula>$AF$4</formula>
    </cfRule>
  </conditionalFormatting>
  <conditionalFormatting sqref="M42">
    <cfRule type="duplicateValues" dxfId="64" priority="66"/>
  </conditionalFormatting>
  <conditionalFormatting sqref="M42">
    <cfRule type="expression" dxfId="63" priority="70">
      <formula>COUNTIF(M$10:M$80,M42)&lt;VLOOKUP(M42,#REF!,M$3,0)</formula>
    </cfRule>
    <cfRule type="expression" dxfId="62" priority="71">
      <formula>COUNTIF(M$10:M$80,M42)&gt;VLOOKUP(M42,#REF!,M$3,0)</formula>
    </cfRule>
  </conditionalFormatting>
  <conditionalFormatting sqref="M43">
    <cfRule type="cellIs" dxfId="61" priority="63" operator="equal">
      <formula>$AF$4</formula>
    </cfRule>
  </conditionalFormatting>
  <conditionalFormatting sqref="M43">
    <cfRule type="cellIs" dxfId="60" priority="61" operator="equal">
      <formula>$AF$4</formula>
    </cfRule>
    <cfRule type="cellIs" dxfId="59" priority="62" operator="equal">
      <formula>$AF$4</formula>
    </cfRule>
  </conditionalFormatting>
  <conditionalFormatting sqref="M43">
    <cfRule type="duplicateValues" dxfId="58" priority="60"/>
  </conditionalFormatting>
  <conditionalFormatting sqref="M43">
    <cfRule type="expression" dxfId="57" priority="64">
      <formula>COUNTIF(M$10:M$80,M43)&lt;VLOOKUP(M43,#REF!,M$3,0)</formula>
    </cfRule>
    <cfRule type="expression" dxfId="56" priority="65">
      <formula>COUNTIF(M$10:M$80,M43)&gt;VLOOKUP(M43,#REF!,M$3,0)</formula>
    </cfRule>
  </conditionalFormatting>
  <conditionalFormatting sqref="P52">
    <cfRule type="cellIs" dxfId="55" priority="57" operator="equal">
      <formula>$AF$4</formula>
    </cfRule>
  </conditionalFormatting>
  <conditionalFormatting sqref="P52">
    <cfRule type="cellIs" dxfId="54" priority="55" operator="equal">
      <formula>$AF$4</formula>
    </cfRule>
    <cfRule type="cellIs" dxfId="53" priority="56" operator="equal">
      <formula>$AF$4</formula>
    </cfRule>
  </conditionalFormatting>
  <conditionalFormatting sqref="P52">
    <cfRule type="duplicateValues" dxfId="52" priority="54"/>
  </conditionalFormatting>
  <conditionalFormatting sqref="P52">
    <cfRule type="expression" dxfId="51" priority="58">
      <formula>COUNTIF(P$10:P$80,P52)&lt;VLOOKUP(P52,#REF!,P$3,0)</formula>
    </cfRule>
    <cfRule type="expression" dxfId="50" priority="59">
      <formula>COUNTIF(P$10:P$80,P52)&gt;VLOOKUP(P52,#REF!,P$3,0)</formula>
    </cfRule>
  </conditionalFormatting>
  <conditionalFormatting sqref="R55">
    <cfRule type="cellIs" dxfId="49" priority="51" operator="equal">
      <formula>$AF$4</formula>
    </cfRule>
  </conditionalFormatting>
  <conditionalFormatting sqref="R55">
    <cfRule type="cellIs" dxfId="48" priority="49" operator="equal">
      <formula>$AF$4</formula>
    </cfRule>
    <cfRule type="cellIs" dxfId="47" priority="50" operator="equal">
      <formula>$AF$4</formula>
    </cfRule>
  </conditionalFormatting>
  <conditionalFormatting sqref="R55">
    <cfRule type="duplicateValues" dxfId="46" priority="48"/>
  </conditionalFormatting>
  <conditionalFormatting sqref="R55">
    <cfRule type="expression" dxfId="45" priority="52">
      <formula>COUNTIF(R$10:R$80,R55)&lt;VLOOKUP(R55,#REF!,R$3,0)</formula>
    </cfRule>
    <cfRule type="expression" dxfId="44" priority="53">
      <formula>COUNTIF(R$10:R$80,R55)&gt;VLOOKUP(R55,#REF!,R$3,0)</formula>
    </cfRule>
  </conditionalFormatting>
  <conditionalFormatting sqref="T58">
    <cfRule type="cellIs" dxfId="43" priority="45" operator="equal">
      <formula>$AF$4</formula>
    </cfRule>
  </conditionalFormatting>
  <conditionalFormatting sqref="T58">
    <cfRule type="cellIs" dxfId="42" priority="43" operator="equal">
      <formula>$AF$4</formula>
    </cfRule>
    <cfRule type="cellIs" dxfId="41" priority="44" operator="equal">
      <formula>$AF$4</formula>
    </cfRule>
  </conditionalFormatting>
  <conditionalFormatting sqref="T58">
    <cfRule type="duplicateValues" dxfId="40" priority="42"/>
  </conditionalFormatting>
  <conditionalFormatting sqref="T58">
    <cfRule type="expression" dxfId="39" priority="46">
      <formula>COUNTIF(T$10:T$80,T58)&lt;VLOOKUP(T58,#REF!,T$3,0)</formula>
    </cfRule>
    <cfRule type="expression" dxfId="38" priority="47">
      <formula>COUNTIF(T$10:T$80,T58)&gt;VLOOKUP(T58,#REF!,T$3,0)</formula>
    </cfRule>
  </conditionalFormatting>
  <conditionalFormatting sqref="V67">
    <cfRule type="cellIs" dxfId="37" priority="39" operator="equal">
      <formula>$AF$4</formula>
    </cfRule>
  </conditionalFormatting>
  <conditionalFormatting sqref="V67">
    <cfRule type="cellIs" dxfId="36" priority="37" operator="equal">
      <formula>$AF$4</formula>
    </cfRule>
    <cfRule type="cellIs" dxfId="35" priority="38" operator="equal">
      <formula>$AF$4</formula>
    </cfRule>
  </conditionalFormatting>
  <conditionalFormatting sqref="V67">
    <cfRule type="duplicateValues" dxfId="34" priority="36"/>
  </conditionalFormatting>
  <conditionalFormatting sqref="V67">
    <cfRule type="expression" dxfId="33" priority="40">
      <formula>COUNTIF(V$10:V$80,V67)&lt;VLOOKUP(V67,#REF!,V$3,0)</formula>
    </cfRule>
    <cfRule type="expression" dxfId="32" priority="41">
      <formula>COUNTIF(V$10:V$80,V67)&gt;VLOOKUP(V67,#REF!,V$3,0)</formula>
    </cfRule>
  </conditionalFormatting>
  <conditionalFormatting sqref="W26">
    <cfRule type="duplicateValues" dxfId="31" priority="35"/>
  </conditionalFormatting>
  <conditionalFormatting sqref="W25">
    <cfRule type="duplicateValues" dxfId="30" priority="34"/>
  </conditionalFormatting>
  <conditionalFormatting sqref="W26">
    <cfRule type="duplicateValues" dxfId="29" priority="33"/>
  </conditionalFormatting>
  <conditionalFormatting sqref="W32">
    <cfRule type="duplicateValues" dxfId="28" priority="32"/>
  </conditionalFormatting>
  <conditionalFormatting sqref="W33">
    <cfRule type="duplicateValues" dxfId="27" priority="31"/>
  </conditionalFormatting>
  <conditionalFormatting sqref="W32">
    <cfRule type="duplicateValues" dxfId="26" priority="30"/>
  </conditionalFormatting>
  <conditionalFormatting sqref="M73">
    <cfRule type="duplicateValues" dxfId="25" priority="29"/>
  </conditionalFormatting>
  <conditionalFormatting sqref="M74">
    <cfRule type="duplicateValues" dxfId="24" priority="28"/>
  </conditionalFormatting>
  <conditionalFormatting sqref="M76">
    <cfRule type="duplicateValues" dxfId="23" priority="25"/>
  </conditionalFormatting>
  <conditionalFormatting sqref="M76">
    <cfRule type="expression" dxfId="22" priority="26">
      <formula>COUNTIF(M$10:M$80,M76)&lt;VLOOKUP(M76,#REF!,M$3,0)</formula>
    </cfRule>
    <cfRule type="expression" dxfId="21" priority="27">
      <formula>COUNTIF(M$10:M$80,M76)&gt;VLOOKUP(M76,#REF!,M$3,0)</formula>
    </cfRule>
  </conditionalFormatting>
  <conditionalFormatting sqref="Z52">
    <cfRule type="duplicateValues" dxfId="20" priority="24"/>
  </conditionalFormatting>
  <conditionalFormatting sqref="Z53">
    <cfRule type="duplicateValues" dxfId="19" priority="23"/>
  </conditionalFormatting>
  <conditionalFormatting sqref="AG31">
    <cfRule type="duplicateValues" dxfId="18" priority="22"/>
  </conditionalFormatting>
  <conditionalFormatting sqref="AG32">
    <cfRule type="duplicateValues" dxfId="17" priority="21"/>
  </conditionalFormatting>
  <conditionalFormatting sqref="AB23:AB24">
    <cfRule type="cellIs" dxfId="16" priority="13" operator="equal">
      <formula>$AF$4</formula>
    </cfRule>
  </conditionalFormatting>
  <conditionalFormatting sqref="AB23:AB24">
    <cfRule type="cellIs" dxfId="15" priority="11" operator="equal">
      <formula>$AF$4</formula>
    </cfRule>
    <cfRule type="cellIs" dxfId="14" priority="12" operator="equal">
      <formula>$AF$4</formula>
    </cfRule>
  </conditionalFormatting>
  <conditionalFormatting sqref="AB23:AB24">
    <cfRule type="expression" dxfId="13" priority="14">
      <formula>COUNTIF(AB$10:AB$80,AB23)&lt;VLOOKUP(AB23,#REF!,AB$3,0)</formula>
    </cfRule>
    <cfRule type="expression" dxfId="12" priority="15">
      <formula>COUNTIF(AB$10:AB$80,AB23)&gt;VLOOKUP(AB23,#REF!,AB$3,0)</formula>
    </cfRule>
  </conditionalFormatting>
  <conditionalFormatting sqref="AB23">
    <cfRule type="duplicateValues" dxfId="11" priority="10"/>
  </conditionalFormatting>
  <conditionalFormatting sqref="AB24">
    <cfRule type="duplicateValues" dxfId="10" priority="9"/>
  </conditionalFormatting>
  <conditionalFormatting sqref="Y25:Y26">
    <cfRule type="cellIs" dxfId="9" priority="8" operator="equal">
      <formula>$AF$4</formula>
    </cfRule>
  </conditionalFormatting>
  <conditionalFormatting sqref="X76:X77">
    <cfRule type="cellIs" dxfId="8" priority="7" operator="equal">
      <formula>$AF$4</formula>
    </cfRule>
  </conditionalFormatting>
  <conditionalFormatting sqref="AC76:AC77">
    <cfRule type="cellIs" dxfId="7" priority="6" operator="equal">
      <formula>$AF$4</formula>
    </cfRule>
  </conditionalFormatting>
  <conditionalFormatting sqref="S73:S74">
    <cfRule type="cellIs" dxfId="6" priority="5" operator="equal">
      <formula>$AF$4</formula>
    </cfRule>
  </conditionalFormatting>
  <conditionalFormatting sqref="AD73:AD74">
    <cfRule type="cellIs" dxfId="5" priority="4" operator="equal">
      <formula>$AF$4</formula>
    </cfRule>
  </conditionalFormatting>
  <conditionalFormatting sqref="AE28:AE29">
    <cfRule type="cellIs" dxfId="4" priority="3" operator="equal">
      <formula>$AF$4</formula>
    </cfRule>
  </conditionalFormatting>
  <conditionalFormatting sqref="AB50:AB51">
    <cfRule type="cellIs" dxfId="3" priority="1" operator="equal">
      <formula>$AF$4</formula>
    </cfRule>
  </conditionalFormatting>
  <pageMargins left="0.62992125984251968" right="0.19685039370078741" top="0" bottom="0.9055118110236221" header="0" footer="0"/>
  <pageSetup paperSize="5" scale="76" orientation="portrait" horizontalDpi="4294967293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22"/>
  <sheetViews>
    <sheetView zoomScaleNormal="100" workbookViewId="0">
      <selection activeCell="L1" sqref="L1"/>
    </sheetView>
  </sheetViews>
  <sheetFormatPr defaultRowHeight="15"/>
  <cols>
    <col min="1" max="1" width="3.140625" style="88" bestFit="1" customWidth="1"/>
    <col min="2" max="2" width="6" style="247" bestFit="1" customWidth="1"/>
    <col min="3" max="3" width="8.7109375" style="88" customWidth="1"/>
    <col min="4" max="5" width="6" style="88" customWidth="1"/>
    <col min="6" max="6" width="5.85546875" style="88" customWidth="1"/>
    <col min="7" max="7" width="6.85546875" customWidth="1"/>
    <col min="9" max="9" width="2.85546875" customWidth="1"/>
    <col min="10" max="10" width="3.140625" customWidth="1"/>
    <col min="11" max="11" width="5.140625" customWidth="1"/>
    <col min="12" max="12" width="26.42578125" bestFit="1" customWidth="1"/>
    <col min="13" max="13" width="16.5703125" style="88" bestFit="1" customWidth="1"/>
    <col min="14" max="14" width="8.7109375" style="88"/>
    <col min="15" max="15" width="4" customWidth="1"/>
    <col min="16" max="16" width="3.140625" customWidth="1"/>
    <col min="17" max="17" width="6" customWidth="1"/>
    <col min="18" max="18" width="7.140625" customWidth="1"/>
    <col min="19" max="19" width="10.7109375" customWidth="1"/>
    <col min="20" max="20" width="5.140625" customWidth="1"/>
    <col min="21" max="21" width="25.85546875" bestFit="1" customWidth="1"/>
  </cols>
  <sheetData>
    <row r="3" spans="1:21">
      <c r="A3" s="242" t="s">
        <v>320</v>
      </c>
      <c r="B3" s="242" t="s">
        <v>89</v>
      </c>
      <c r="C3" s="242" t="s">
        <v>325</v>
      </c>
      <c r="D3" s="328" t="s">
        <v>321</v>
      </c>
      <c r="E3" s="328"/>
      <c r="F3" s="328"/>
      <c r="G3" s="328" t="s">
        <v>322</v>
      </c>
      <c r="H3" s="328"/>
      <c r="J3" s="242" t="s">
        <v>320</v>
      </c>
      <c r="K3" s="242" t="s">
        <v>160</v>
      </c>
      <c r="L3" s="242" t="s">
        <v>334</v>
      </c>
      <c r="M3" s="242" t="s">
        <v>335</v>
      </c>
      <c r="N3" s="250" t="s">
        <v>337</v>
      </c>
      <c r="P3" s="242" t="s">
        <v>320</v>
      </c>
      <c r="Q3" s="242" t="s">
        <v>89</v>
      </c>
      <c r="R3" s="242" t="s">
        <v>325</v>
      </c>
      <c r="S3" s="242" t="s">
        <v>321</v>
      </c>
      <c r="T3" s="242" t="s">
        <v>160</v>
      </c>
      <c r="U3" s="242" t="s">
        <v>334</v>
      </c>
    </row>
    <row r="4" spans="1:21">
      <c r="A4" s="327">
        <v>1</v>
      </c>
      <c r="B4" s="327" t="s">
        <v>90</v>
      </c>
      <c r="C4" s="244" t="s">
        <v>326</v>
      </c>
      <c r="D4" s="245" t="s">
        <v>175</v>
      </c>
      <c r="E4" s="245" t="s">
        <v>176</v>
      </c>
      <c r="F4" s="245"/>
      <c r="G4" s="245" t="s">
        <v>251</v>
      </c>
      <c r="H4" s="245" t="s">
        <v>21</v>
      </c>
      <c r="J4" s="249">
        <v>1</v>
      </c>
      <c r="K4" s="249" t="s">
        <v>251</v>
      </c>
      <c r="L4" s="249" t="s">
        <v>252</v>
      </c>
      <c r="M4" s="248">
        <v>4</v>
      </c>
      <c r="N4" s="85">
        <f>M4*2</f>
        <v>8</v>
      </c>
      <c r="P4" s="327">
        <v>1</v>
      </c>
      <c r="Q4" s="327" t="s">
        <v>90</v>
      </c>
      <c r="R4" s="251" t="s">
        <v>338</v>
      </c>
      <c r="S4" s="251" t="s">
        <v>339</v>
      </c>
      <c r="T4" s="251" t="s">
        <v>251</v>
      </c>
      <c r="U4" s="251" t="s">
        <v>252</v>
      </c>
    </row>
    <row r="5" spans="1:21">
      <c r="A5" s="327"/>
      <c r="B5" s="327"/>
      <c r="C5" s="244" t="s">
        <v>327</v>
      </c>
      <c r="D5" s="245" t="s">
        <v>173</v>
      </c>
      <c r="E5" s="245" t="s">
        <v>174</v>
      </c>
      <c r="F5" s="245"/>
      <c r="G5" s="245" t="s">
        <v>15</v>
      </c>
      <c r="H5" s="246" t="s">
        <v>145</v>
      </c>
      <c r="J5" s="249">
        <v>2</v>
      </c>
      <c r="K5" s="249" t="s">
        <v>145</v>
      </c>
      <c r="L5" s="249" t="s">
        <v>146</v>
      </c>
      <c r="M5" s="248">
        <v>4</v>
      </c>
      <c r="N5" s="85">
        <f t="shared" ref="N5:N10" si="0">M5*2</f>
        <v>8</v>
      </c>
      <c r="P5" s="327"/>
      <c r="Q5" s="327"/>
      <c r="R5" s="251" t="s">
        <v>338</v>
      </c>
      <c r="S5" s="251" t="s">
        <v>339</v>
      </c>
      <c r="T5" s="251" t="s">
        <v>21</v>
      </c>
      <c r="U5" s="251" t="s">
        <v>58</v>
      </c>
    </row>
    <row r="6" spans="1:21">
      <c r="A6" s="327"/>
      <c r="B6" s="327"/>
      <c r="C6" s="244" t="s">
        <v>328</v>
      </c>
      <c r="D6" s="245" t="s">
        <v>192</v>
      </c>
      <c r="E6" s="245" t="s">
        <v>193</v>
      </c>
      <c r="F6" s="245" t="s">
        <v>194</v>
      </c>
      <c r="G6" s="245" t="s">
        <v>241</v>
      </c>
      <c r="H6" s="85"/>
      <c r="J6" s="249">
        <v>3</v>
      </c>
      <c r="K6" s="249" t="s">
        <v>18</v>
      </c>
      <c r="L6" s="249" t="s">
        <v>215</v>
      </c>
      <c r="M6" s="248">
        <v>4</v>
      </c>
      <c r="N6" s="85">
        <f t="shared" si="0"/>
        <v>8</v>
      </c>
      <c r="P6" s="327"/>
      <c r="Q6" s="327"/>
      <c r="R6" s="243" t="s">
        <v>340</v>
      </c>
      <c r="S6" s="243" t="s">
        <v>341</v>
      </c>
      <c r="T6" s="243" t="s">
        <v>15</v>
      </c>
      <c r="U6" s="243" t="s">
        <v>342</v>
      </c>
    </row>
    <row r="7" spans="1:21">
      <c r="A7" s="327">
        <v>2</v>
      </c>
      <c r="B7" s="327" t="s">
        <v>91</v>
      </c>
      <c r="C7" s="244" t="s">
        <v>327</v>
      </c>
      <c r="D7" s="245" t="s">
        <v>177</v>
      </c>
      <c r="E7" s="245" t="s">
        <v>178</v>
      </c>
      <c r="F7" s="245"/>
      <c r="G7" s="245" t="s">
        <v>18</v>
      </c>
      <c r="H7" s="85" t="s">
        <v>15</v>
      </c>
      <c r="J7" s="249">
        <v>4</v>
      </c>
      <c r="K7" s="249" t="s">
        <v>21</v>
      </c>
      <c r="L7" s="249" t="s">
        <v>58</v>
      </c>
      <c r="M7" s="248">
        <v>2</v>
      </c>
      <c r="N7" s="85">
        <f t="shared" si="0"/>
        <v>4</v>
      </c>
      <c r="P7" s="327"/>
      <c r="Q7" s="327"/>
      <c r="R7" s="243" t="s">
        <v>340</v>
      </c>
      <c r="S7" s="243" t="s">
        <v>341</v>
      </c>
      <c r="T7" s="243" t="s">
        <v>145</v>
      </c>
      <c r="U7" s="243" t="s">
        <v>146</v>
      </c>
    </row>
    <row r="8" spans="1:21">
      <c r="A8" s="327"/>
      <c r="B8" s="327"/>
      <c r="C8" s="244" t="s">
        <v>328</v>
      </c>
      <c r="D8" s="245" t="s">
        <v>179</v>
      </c>
      <c r="E8" s="245" t="s">
        <v>180</v>
      </c>
      <c r="F8" s="245"/>
      <c r="G8" s="245" t="s">
        <v>229</v>
      </c>
      <c r="H8" s="85" t="s">
        <v>21</v>
      </c>
      <c r="J8" s="249">
        <v>5</v>
      </c>
      <c r="K8" s="249" t="s">
        <v>15</v>
      </c>
      <c r="L8" s="249" t="s">
        <v>336</v>
      </c>
      <c r="M8" s="248">
        <v>2</v>
      </c>
      <c r="N8" s="85">
        <f t="shared" si="0"/>
        <v>4</v>
      </c>
      <c r="P8" s="327"/>
      <c r="Q8" s="327"/>
      <c r="R8" s="251" t="s">
        <v>343</v>
      </c>
      <c r="S8" s="251" t="s">
        <v>344</v>
      </c>
      <c r="T8" s="251" t="s">
        <v>241</v>
      </c>
      <c r="U8" s="251" t="s">
        <v>238</v>
      </c>
    </row>
    <row r="9" spans="1:21">
      <c r="A9" s="245">
        <v>3</v>
      </c>
      <c r="B9" s="245" t="s">
        <v>92</v>
      </c>
      <c r="C9" s="244" t="s">
        <v>327</v>
      </c>
      <c r="D9" s="245" t="s">
        <v>329</v>
      </c>
      <c r="E9" s="245" t="s">
        <v>330</v>
      </c>
      <c r="F9" s="245" t="s">
        <v>331</v>
      </c>
      <c r="G9" s="245" t="s">
        <v>18</v>
      </c>
      <c r="H9" s="85" t="s">
        <v>145</v>
      </c>
      <c r="J9" s="249">
        <v>6</v>
      </c>
      <c r="K9" s="249" t="s">
        <v>229</v>
      </c>
      <c r="L9" s="249" t="s">
        <v>233</v>
      </c>
      <c r="M9" s="248">
        <v>2</v>
      </c>
      <c r="N9" s="85">
        <f t="shared" si="0"/>
        <v>4</v>
      </c>
      <c r="P9" s="327">
        <v>2</v>
      </c>
      <c r="Q9" s="327" t="s">
        <v>91</v>
      </c>
      <c r="R9" s="243" t="s">
        <v>340</v>
      </c>
      <c r="S9" s="243" t="s">
        <v>345</v>
      </c>
      <c r="T9" s="243" t="s">
        <v>18</v>
      </c>
      <c r="U9" s="243" t="s">
        <v>215</v>
      </c>
    </row>
    <row r="10" spans="1:21">
      <c r="A10" s="327">
        <v>4</v>
      </c>
      <c r="B10" s="327" t="s">
        <v>323</v>
      </c>
      <c r="C10" s="244" t="s">
        <v>326</v>
      </c>
      <c r="D10" s="245" t="s">
        <v>184</v>
      </c>
      <c r="E10" s="245" t="s">
        <v>185</v>
      </c>
      <c r="F10" s="245"/>
      <c r="G10" s="245" t="s">
        <v>251</v>
      </c>
      <c r="H10" s="85" t="s">
        <v>18</v>
      </c>
      <c r="J10" s="249">
        <v>7</v>
      </c>
      <c r="K10" s="249" t="s">
        <v>241</v>
      </c>
      <c r="L10" s="249" t="s">
        <v>238</v>
      </c>
      <c r="M10" s="248">
        <v>1</v>
      </c>
      <c r="N10" s="85">
        <f t="shared" si="0"/>
        <v>2</v>
      </c>
      <c r="P10" s="327"/>
      <c r="Q10" s="327"/>
      <c r="R10" s="243" t="s">
        <v>340</v>
      </c>
      <c r="S10" s="243" t="s">
        <v>345</v>
      </c>
      <c r="T10" s="243" t="s">
        <v>15</v>
      </c>
      <c r="U10" s="243" t="s">
        <v>342</v>
      </c>
    </row>
    <row r="11" spans="1:21">
      <c r="A11" s="327"/>
      <c r="B11" s="327"/>
      <c r="C11" s="244" t="s">
        <v>327</v>
      </c>
      <c r="D11" s="85" t="s">
        <v>186</v>
      </c>
      <c r="E11" s="85" t="s">
        <v>187</v>
      </c>
      <c r="F11" s="85"/>
      <c r="G11" s="246" t="s">
        <v>251</v>
      </c>
      <c r="H11" s="86" t="s">
        <v>145</v>
      </c>
      <c r="P11" s="327"/>
      <c r="Q11" s="327"/>
      <c r="R11" s="251" t="s">
        <v>343</v>
      </c>
      <c r="S11" s="251" t="s">
        <v>346</v>
      </c>
      <c r="T11" s="251" t="s">
        <v>229</v>
      </c>
      <c r="U11" s="251" t="s">
        <v>233</v>
      </c>
    </row>
    <row r="12" spans="1:21">
      <c r="A12" s="327"/>
      <c r="B12" s="327"/>
      <c r="C12" s="244" t="s">
        <v>328</v>
      </c>
      <c r="D12" s="85" t="s">
        <v>188</v>
      </c>
      <c r="E12" s="85" t="s">
        <v>189</v>
      </c>
      <c r="F12" s="85"/>
      <c r="G12" s="246" t="s">
        <v>229</v>
      </c>
      <c r="H12" s="86" t="s">
        <v>145</v>
      </c>
      <c r="P12" s="327"/>
      <c r="Q12" s="327"/>
      <c r="R12" s="251" t="s">
        <v>343</v>
      </c>
      <c r="S12" s="251" t="s">
        <v>346</v>
      </c>
      <c r="T12" s="251" t="s">
        <v>21</v>
      </c>
      <c r="U12" s="251" t="s">
        <v>58</v>
      </c>
    </row>
    <row r="13" spans="1:21">
      <c r="A13" s="85">
        <v>5</v>
      </c>
      <c r="B13" s="85" t="s">
        <v>332</v>
      </c>
      <c r="C13" s="244" t="s">
        <v>333</v>
      </c>
      <c r="D13" s="85" t="s">
        <v>190</v>
      </c>
      <c r="E13" s="85" t="s">
        <v>191</v>
      </c>
      <c r="F13" s="85"/>
      <c r="G13" s="246" t="s">
        <v>18</v>
      </c>
      <c r="H13" s="86" t="s">
        <v>251</v>
      </c>
      <c r="P13" s="327">
        <v>3</v>
      </c>
      <c r="Q13" s="327" t="s">
        <v>92</v>
      </c>
      <c r="R13" s="243" t="s">
        <v>340</v>
      </c>
      <c r="S13" s="243" t="s">
        <v>347</v>
      </c>
      <c r="T13" s="243" t="s">
        <v>18</v>
      </c>
      <c r="U13" s="243" t="s">
        <v>215</v>
      </c>
    </row>
    <row r="14" spans="1:21">
      <c r="P14" s="327"/>
      <c r="Q14" s="327"/>
      <c r="R14" s="243" t="s">
        <v>340</v>
      </c>
      <c r="S14" s="243" t="s">
        <v>347</v>
      </c>
      <c r="T14" s="243" t="s">
        <v>145</v>
      </c>
      <c r="U14" s="243" t="s">
        <v>146</v>
      </c>
    </row>
    <row r="15" spans="1:21">
      <c r="P15" s="327"/>
      <c r="Q15" s="327"/>
      <c r="R15" s="251" t="s">
        <v>338</v>
      </c>
      <c r="S15" s="251" t="s">
        <v>348</v>
      </c>
      <c r="T15" s="251" t="s">
        <v>251</v>
      </c>
      <c r="U15" s="251" t="s">
        <v>252</v>
      </c>
    </row>
    <row r="16" spans="1:21">
      <c r="P16" s="327"/>
      <c r="Q16" s="327"/>
      <c r="R16" s="251" t="s">
        <v>338</v>
      </c>
      <c r="S16" s="251" t="s">
        <v>348</v>
      </c>
      <c r="T16" s="251" t="s">
        <v>18</v>
      </c>
      <c r="U16" s="251" t="s">
        <v>215</v>
      </c>
    </row>
    <row r="17" spans="16:21">
      <c r="P17" s="327">
        <v>4</v>
      </c>
      <c r="Q17" s="327" t="s">
        <v>323</v>
      </c>
      <c r="R17" s="243" t="s">
        <v>340</v>
      </c>
      <c r="S17" s="243" t="s">
        <v>349</v>
      </c>
      <c r="T17" s="243" t="s">
        <v>251</v>
      </c>
      <c r="U17" s="243" t="s">
        <v>252</v>
      </c>
    </row>
    <row r="18" spans="16:21">
      <c r="P18" s="327"/>
      <c r="Q18" s="327"/>
      <c r="R18" s="243" t="s">
        <v>340</v>
      </c>
      <c r="S18" s="243" t="s">
        <v>349</v>
      </c>
      <c r="T18" s="243" t="s">
        <v>145</v>
      </c>
      <c r="U18" s="243" t="s">
        <v>146</v>
      </c>
    </row>
    <row r="19" spans="16:21">
      <c r="P19" s="327"/>
      <c r="Q19" s="327"/>
      <c r="R19" s="251" t="s">
        <v>343</v>
      </c>
      <c r="S19" s="251" t="s">
        <v>350</v>
      </c>
      <c r="T19" s="251" t="s">
        <v>229</v>
      </c>
      <c r="U19" s="251" t="s">
        <v>233</v>
      </c>
    </row>
    <row r="20" spans="16:21">
      <c r="P20" s="327"/>
      <c r="Q20" s="327"/>
      <c r="R20" s="251" t="s">
        <v>343</v>
      </c>
      <c r="S20" s="251" t="s">
        <v>350</v>
      </c>
      <c r="T20" s="251" t="s">
        <v>145</v>
      </c>
      <c r="U20" s="251" t="s">
        <v>146</v>
      </c>
    </row>
    <row r="21" spans="16:21">
      <c r="P21" s="327">
        <v>5</v>
      </c>
      <c r="Q21" s="327" t="s">
        <v>324</v>
      </c>
      <c r="R21" s="243" t="s">
        <v>351</v>
      </c>
      <c r="S21" s="243" t="s">
        <v>352</v>
      </c>
      <c r="T21" s="243" t="s">
        <v>18</v>
      </c>
      <c r="U21" s="243" t="s">
        <v>215</v>
      </c>
    </row>
    <row r="22" spans="16:21">
      <c r="P22" s="327"/>
      <c r="Q22" s="327"/>
      <c r="R22" s="243" t="s">
        <v>351</v>
      </c>
      <c r="S22" s="243" t="s">
        <v>352</v>
      </c>
      <c r="T22" s="243" t="s">
        <v>251</v>
      </c>
      <c r="U22" s="243" t="s">
        <v>252</v>
      </c>
    </row>
  </sheetData>
  <mergeCells count="18">
    <mergeCell ref="P4:P8"/>
    <mergeCell ref="P9:P12"/>
    <mergeCell ref="P13:P16"/>
    <mergeCell ref="P17:P20"/>
    <mergeCell ref="P21:P22"/>
    <mergeCell ref="Q4:Q8"/>
    <mergeCell ref="Q9:Q12"/>
    <mergeCell ref="Q13:Q16"/>
    <mergeCell ref="Q17:Q20"/>
    <mergeCell ref="Q21:Q22"/>
    <mergeCell ref="A4:A6"/>
    <mergeCell ref="A7:A8"/>
    <mergeCell ref="A10:A12"/>
    <mergeCell ref="D3:F3"/>
    <mergeCell ref="G3:H3"/>
    <mergeCell ref="B4:B6"/>
    <mergeCell ref="B7:B8"/>
    <mergeCell ref="B10:B12"/>
  </mergeCells>
  <pageMargins left="0.9055118110236221" right="1.299212598425197" top="0.74803149606299213" bottom="0.74803149606299213" header="0.31496062992125984" footer="0.31496062992125984"/>
  <pageSetup paperSize="5" scale="8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3"/>
  <sheetViews>
    <sheetView workbookViewId="0">
      <selection activeCell="D14" sqref="D14"/>
    </sheetView>
  </sheetViews>
  <sheetFormatPr defaultRowHeight="15"/>
  <cols>
    <col min="1" max="1" width="3.7109375" customWidth="1"/>
    <col min="2" max="2" width="10.85546875" customWidth="1"/>
    <col min="3" max="3" width="27.5703125" customWidth="1"/>
    <col min="4" max="4" width="26.5703125" customWidth="1"/>
    <col min="5" max="5" width="25.85546875" customWidth="1"/>
    <col min="6" max="6" width="28.42578125" customWidth="1"/>
  </cols>
  <sheetData>
    <row r="3" spans="2:9" ht="18.75">
      <c r="B3" s="270" t="s">
        <v>361</v>
      </c>
      <c r="D3" s="270" t="s">
        <v>362</v>
      </c>
    </row>
    <row r="4" spans="2:9" ht="15.75">
      <c r="B4" s="159"/>
      <c r="C4" s="159"/>
      <c r="D4" s="159"/>
      <c r="E4" s="159"/>
      <c r="F4" s="159"/>
      <c r="G4" s="159"/>
    </row>
    <row r="5" spans="2:9" ht="18.75">
      <c r="B5" s="271"/>
      <c r="C5" s="259" t="s">
        <v>353</v>
      </c>
      <c r="D5" s="259" t="s">
        <v>139</v>
      </c>
      <c r="E5" s="259" t="s">
        <v>219</v>
      </c>
      <c r="F5" s="259" t="s">
        <v>360</v>
      </c>
      <c r="G5" s="159"/>
    </row>
    <row r="6" spans="2:9" ht="15.75">
      <c r="B6" s="262" t="s">
        <v>354</v>
      </c>
      <c r="C6" s="261" t="s">
        <v>283</v>
      </c>
      <c r="D6" s="261" t="s">
        <v>277</v>
      </c>
      <c r="E6" s="260"/>
      <c r="F6" s="263" t="s">
        <v>238</v>
      </c>
      <c r="G6" s="257"/>
    </row>
    <row r="7" spans="2:9" ht="15.75">
      <c r="B7" s="255" t="s">
        <v>356</v>
      </c>
      <c r="C7" s="256" t="s">
        <v>358</v>
      </c>
      <c r="D7" s="264" t="s">
        <v>65</v>
      </c>
      <c r="E7" s="256" t="s">
        <v>141</v>
      </c>
      <c r="F7" s="256"/>
      <c r="G7" s="257"/>
    </row>
    <row r="8" spans="2:9" ht="15.75">
      <c r="B8" s="262" t="s">
        <v>355</v>
      </c>
      <c r="C8" s="260"/>
      <c r="D8" s="261" t="s">
        <v>63</v>
      </c>
      <c r="E8" s="260"/>
      <c r="F8" s="265" t="s">
        <v>297</v>
      </c>
      <c r="G8" s="257"/>
      <c r="H8" s="253"/>
    </row>
    <row r="9" spans="2:9" ht="15.75">
      <c r="B9" s="255" t="s">
        <v>101</v>
      </c>
      <c r="C9" s="266" t="s">
        <v>359</v>
      </c>
      <c r="D9" s="256"/>
      <c r="E9" s="256" t="s">
        <v>275</v>
      </c>
      <c r="F9" s="267"/>
      <c r="G9" s="257"/>
      <c r="H9" s="254"/>
      <c r="I9" s="252"/>
    </row>
    <row r="10" spans="2:9" ht="15.75">
      <c r="B10" s="262" t="s">
        <v>106</v>
      </c>
      <c r="C10" s="260"/>
      <c r="D10" s="268" t="s">
        <v>62</v>
      </c>
      <c r="E10" s="269"/>
      <c r="F10" s="260"/>
      <c r="G10" s="257"/>
      <c r="H10" s="253"/>
    </row>
    <row r="11" spans="2:9" ht="15.75">
      <c r="B11" s="255" t="s">
        <v>357</v>
      </c>
      <c r="C11" s="258" t="s">
        <v>294</v>
      </c>
      <c r="D11" s="256"/>
      <c r="E11" s="264" t="s">
        <v>232</v>
      </c>
      <c r="F11" s="52" t="s">
        <v>104</v>
      </c>
      <c r="G11" s="257"/>
      <c r="H11" s="253"/>
    </row>
    <row r="12" spans="2:9" ht="15.75">
      <c r="B12" s="257"/>
      <c r="C12" s="257"/>
      <c r="D12" s="257"/>
      <c r="E12" s="257"/>
      <c r="F12" s="257"/>
      <c r="G12" s="257"/>
      <c r="H12" s="253"/>
    </row>
    <row r="13" spans="2:9">
      <c r="B13" s="253"/>
      <c r="C13" s="253"/>
      <c r="D13" s="253"/>
      <c r="E13" s="253"/>
      <c r="F13" s="253"/>
      <c r="G13" s="253"/>
      <c r="H13" s="253"/>
    </row>
  </sheetData>
  <conditionalFormatting sqref="C9 D10">
    <cfRule type="cellIs" dxfId="2" priority="4" operator="equal">
      <formula>$AF$4</formula>
    </cfRule>
    <cfRule type="cellIs" dxfId="1" priority="5" operator="equal">
      <formula>$AF$4</formula>
    </cfRule>
  </conditionalFormatting>
  <conditionalFormatting sqref="C9 D10">
    <cfRule type="cellIs" dxfId="0" priority="1" operator="equal">
      <formula>$AF$4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jam tgs guru-FIX Jan 26</vt:lpstr>
      <vt:lpstr>Jadwal FIX Jan '26</vt:lpstr>
      <vt:lpstr>PSL</vt:lpstr>
      <vt:lpstr>Olimpiade</vt:lpstr>
      <vt:lpstr>'Jadwal FIX Jan ''26'!Print_Area</vt:lpstr>
      <vt:lpstr>'Jadwal FIX Jan ''26'!Print_Titles</vt:lpstr>
      <vt:lpstr>'jam tgs guru-FIX Jan 26'!Print_Titles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2026-01-05T06:44:59Z</dcterms:modified>
</cp:coreProperties>
</file>